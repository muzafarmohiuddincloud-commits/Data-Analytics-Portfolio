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IBHA\Desktop\"/>
    </mc:Choice>
  </mc:AlternateContent>
  <xr:revisionPtr revIDLastSave="0" documentId="8_{DF8DEE3C-F471-4ACA-B15F-5E3222C3B585}" xr6:coauthVersionLast="47" xr6:coauthVersionMax="47" xr10:uidLastSave="{00000000-0000-0000-0000-000000000000}"/>
  <bookViews>
    <workbookView xWindow="0" yWindow="0" windowWidth="15360" windowHeight="8655" activeTab="2" xr2:uid="{00000000-000D-0000-FFFF-FFFF00000000}"/>
  </bookViews>
  <sheets>
    <sheet name="Data" sheetId="1" r:id="rId1"/>
    <sheet name="process" sheetId="12" r:id="rId2"/>
    <sheet name="final" sheetId="13" r:id="rId3"/>
    <sheet name="Registration_Summary" sheetId="4" state="hidden" r:id="rId4"/>
    <sheet name="Sheet9" sheetId="10" state="hidden" r:id="rId5"/>
    <sheet name="Selected_Summary" sheetId="11" state="hidden" r:id="rId6"/>
  </sheets>
  <externalReferences>
    <externalReference r:id="rId7"/>
  </externalReferences>
  <definedNames>
    <definedName name="_xlnm._FilterDatabase" localSheetId="0" hidden="1">Data!$A$1:$J$495</definedName>
    <definedName name="_xlnm._FilterDatabase" localSheetId="1" hidden="1">process!$A$1:$K$276</definedName>
    <definedName name="_xlnm._FilterDatabase" localSheetId="2" hidden="1">final!$A$1:$K$42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3" l="1"/>
  <c r="D38" i="13"/>
  <c r="D35" i="13"/>
  <c r="D11" i="13"/>
  <c r="D25" i="13"/>
  <c r="D28" i="13"/>
  <c r="D42" i="13"/>
  <c r="D2" i="13"/>
  <c r="D3" i="13"/>
  <c r="D17" i="13"/>
  <c r="D5" i="13"/>
  <c r="D18" i="13"/>
  <c r="D8" i="13"/>
  <c r="D13" i="13"/>
  <c r="D23" i="13"/>
  <c r="D32" i="13"/>
  <c r="D34" i="13"/>
  <c r="D16" i="13"/>
  <c r="D19" i="13"/>
  <c r="D10" i="13"/>
  <c r="D15" i="13"/>
  <c r="D6" i="13"/>
  <c r="D12" i="13"/>
  <c r="D40" i="13"/>
  <c r="D41" i="13"/>
  <c r="D31" i="13"/>
  <c r="D37" i="13"/>
  <c r="D26" i="13"/>
  <c r="D29" i="13"/>
  <c r="D24" i="13"/>
  <c r="D27" i="13"/>
  <c r="D36" i="13"/>
  <c r="D9" i="13"/>
  <c r="D22" i="13"/>
  <c r="D7" i="13"/>
  <c r="D21" i="13"/>
  <c r="D14" i="13"/>
  <c r="D4" i="13"/>
  <c r="D33" i="13"/>
  <c r="D20" i="13"/>
  <c r="D30" i="13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" i="12"/>
  <c r="D5" i="10" a="1"/>
  <c r="D5" i="10"/>
  <c r="A1" i="10" a="1"/>
  <c r="A1" i="10"/>
  <c r="A22" i="10"/>
  <c r="A13" i="10"/>
  <c r="A15" i="10"/>
  <c r="A4" i="10"/>
  <c r="A7" i="10"/>
  <c r="A10" i="10"/>
  <c r="A24" i="10"/>
  <c r="A11" i="10"/>
  <c r="A27" i="10"/>
  <c r="A5" i="10"/>
  <c r="A16" i="10"/>
  <c r="A21" i="10"/>
  <c r="A23" i="10"/>
  <c r="A26" i="10"/>
  <c r="A3" i="10"/>
  <c r="A9" i="10"/>
  <c r="A17" i="10"/>
  <c r="A12" i="10"/>
  <c r="A20" i="10"/>
  <c r="A25" i="10"/>
  <c r="A2" i="10"/>
  <c r="A6" i="10"/>
  <c r="A8" i="10"/>
  <c r="A14" i="10"/>
  <c r="A19" i="10"/>
  <c r="A28" i="10"/>
  <c r="A18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<sst xmlns="http://schemas.openxmlformats.org/spreadsheetml/2006/main" count="5052" uniqueCount="741">
  <si>
    <t xml:space="preserve">Full Name </t>
  </si>
  <si>
    <t>Village</t>
  </si>
  <si>
    <t>Gender</t>
  </si>
  <si>
    <t>Qualification</t>
  </si>
  <si>
    <t>Year of passed out</t>
  </si>
  <si>
    <t>Religion</t>
  </si>
  <si>
    <t>University</t>
  </si>
  <si>
    <t>Appeared for Exam</t>
  </si>
  <si>
    <t>Exam_marks</t>
  </si>
  <si>
    <t>Interview_Marks</t>
  </si>
  <si>
    <t>Abdul</t>
  </si>
  <si>
    <t xml:space="preserve">Julapalli </t>
  </si>
  <si>
    <t>Female</t>
  </si>
  <si>
    <t>Degree ( BSc, BTech, BCom, BA, BBA)</t>
  </si>
  <si>
    <t>Hindu</t>
  </si>
  <si>
    <t>Satavahana University</t>
  </si>
  <si>
    <t>Yes</t>
  </si>
  <si>
    <t>abhilash</t>
  </si>
  <si>
    <t xml:space="preserve">Yellikal </t>
  </si>
  <si>
    <t>Zphs</t>
  </si>
  <si>
    <t>ABHINAV</t>
  </si>
  <si>
    <t xml:space="preserve">Wadkapoor </t>
  </si>
  <si>
    <t>No</t>
  </si>
  <si>
    <t>Abhishek</t>
  </si>
  <si>
    <t>Wadkapoor</t>
  </si>
  <si>
    <t>Male</t>
  </si>
  <si>
    <t>Others</t>
  </si>
  <si>
    <t xml:space="preserve">Vardhaman college of engineering </t>
  </si>
  <si>
    <t>Afrin</t>
  </si>
  <si>
    <t>Vennampally</t>
  </si>
  <si>
    <t>PG ( MSc, MTech, MBA, MA, MCom)</t>
  </si>
  <si>
    <t xml:space="preserve">Tswrdc w karimnagar </t>
  </si>
  <si>
    <t>AJAY</t>
  </si>
  <si>
    <t xml:space="preserve">Venkatropally </t>
  </si>
  <si>
    <t xml:space="preserve">Trinity College of engineering and technology </t>
  </si>
  <si>
    <t>Ajay</t>
  </si>
  <si>
    <t>Venkatraopalli</t>
  </si>
  <si>
    <t>Degree ( BSc, BTech, BCom, BA, BBA,BE)</t>
  </si>
  <si>
    <t>Trinity College of engineering and technology</t>
  </si>
  <si>
    <t>Trinity</t>
  </si>
  <si>
    <t>TELANGANA OPEN SCHOOL SOCIETY</t>
  </si>
  <si>
    <t>ajay</t>
  </si>
  <si>
    <t>Sujala Bharathi Institute of technology warangal</t>
  </si>
  <si>
    <t>Veerlapalem</t>
  </si>
  <si>
    <t xml:space="preserve">State board of technical educational training Telangana </t>
  </si>
  <si>
    <t>Thurukalamaddikunta</t>
  </si>
  <si>
    <t>Thurkalamaddikunta</t>
  </si>
  <si>
    <t xml:space="preserve">Thogarrai </t>
  </si>
  <si>
    <t>Theratpalli</t>
  </si>
  <si>
    <t>akhila</t>
  </si>
  <si>
    <t xml:space="preserve">Thallakothapeta </t>
  </si>
  <si>
    <t>Akhila</t>
  </si>
  <si>
    <t>Suraiahpally</t>
  </si>
  <si>
    <t>Muslim</t>
  </si>
  <si>
    <t xml:space="preserve">Sulthanabad </t>
  </si>
  <si>
    <t>Sulthanabad</t>
  </si>
  <si>
    <t xml:space="preserve">State board of technical education and training , Telangana </t>
  </si>
  <si>
    <t>State board of technical education and training</t>
  </si>
  <si>
    <t>STATE BOARD OF TECHNICAL EDUCATION AND TRAINING</t>
  </si>
  <si>
    <t>Sultanabad</t>
  </si>
  <si>
    <t xml:space="preserve">State board of technical education </t>
  </si>
  <si>
    <t>AKSHAY</t>
  </si>
  <si>
    <t>State board of technical education</t>
  </si>
  <si>
    <t>Akshitha</t>
  </si>
  <si>
    <t>Diploma (Polytechnic, ITI)</t>
  </si>
  <si>
    <t>SRRS GOVT POLYTECHNIC, SIRISICLLA</t>
  </si>
  <si>
    <t>Srivani degree and pg college</t>
  </si>
  <si>
    <t>Akudari</t>
  </si>
  <si>
    <t xml:space="preserve">Sri VIDYODAYA HIGH SCHOOL </t>
  </si>
  <si>
    <t>Anand</t>
  </si>
  <si>
    <t xml:space="preserve">Sri saradhi pvt Ltd </t>
  </si>
  <si>
    <t>Anil</t>
  </si>
  <si>
    <t xml:space="preserve">Sri kakatiya institution of pharmaceutical sciences </t>
  </si>
  <si>
    <t xml:space="preserve">Sree chaitanya </t>
  </si>
  <si>
    <t>ANIL</t>
  </si>
  <si>
    <t>Singareni polytechnic college</t>
  </si>
  <si>
    <t>Sindhura University</t>
  </si>
  <si>
    <t>Sindhura iti peddapally</t>
  </si>
  <si>
    <t>anil</t>
  </si>
  <si>
    <t>Sindhura ITI</t>
  </si>
  <si>
    <t xml:space="preserve">SUGLAMPALLY </t>
  </si>
  <si>
    <t>Shreya vocational</t>
  </si>
  <si>
    <t xml:space="preserve">Suglampally </t>
  </si>
  <si>
    <t>Shiva Sai iti peddapalli</t>
  </si>
  <si>
    <t xml:space="preserve">Suglampalli </t>
  </si>
  <si>
    <t xml:space="preserve">Shathavahana University </t>
  </si>
  <si>
    <t>Anilkumar</t>
  </si>
  <si>
    <t>Suddala</t>
  </si>
  <si>
    <t>Anilraj</t>
  </si>
  <si>
    <t xml:space="preserve">Sriramulapally </t>
  </si>
  <si>
    <t>anitha</t>
  </si>
  <si>
    <t>Shivapalli</t>
  </si>
  <si>
    <t>Anjali</t>
  </si>
  <si>
    <t xml:space="preserve">Shasthurlapally, Eklaspur </t>
  </si>
  <si>
    <t>Shathavahana university</t>
  </si>
  <si>
    <t>Anumala</t>
  </si>
  <si>
    <t xml:space="preserve">Shankar palli </t>
  </si>
  <si>
    <t>ANUSHA</t>
  </si>
  <si>
    <t>Shalapally</t>
  </si>
  <si>
    <t>Shathavahana University</t>
  </si>
  <si>
    <t>Anusha</t>
  </si>
  <si>
    <t>Seetharampur</t>
  </si>
  <si>
    <t>SHATHAVAHANA UNIVERSITY</t>
  </si>
  <si>
    <t>anusha</t>
  </si>
  <si>
    <t>Ryakaldevpally</t>
  </si>
  <si>
    <t>Ryakaldevpalli</t>
  </si>
  <si>
    <t>ANVESH</t>
  </si>
  <si>
    <t>Rompikunta</t>
  </si>
  <si>
    <t xml:space="preserve">Shathavahana </t>
  </si>
  <si>
    <t>Anwar</t>
  </si>
  <si>
    <t xml:space="preserve">Revally </t>
  </si>
  <si>
    <t>Shathavahana</t>
  </si>
  <si>
    <t>Aparna</t>
  </si>
  <si>
    <t xml:space="preserve">Regadimaddikunta Dubbapalli </t>
  </si>
  <si>
    <t>ARAVIND</t>
  </si>
  <si>
    <t xml:space="preserve">Regadimaddikunta </t>
  </si>
  <si>
    <t>Aravind</t>
  </si>
  <si>
    <t>Regadimaddikunta</t>
  </si>
  <si>
    <t>SHATHAVAHANA</t>
  </si>
  <si>
    <t>aravind</t>
  </si>
  <si>
    <t>Ratnapur</t>
  </si>
  <si>
    <t xml:space="preserve">Rangapoor </t>
  </si>
  <si>
    <t>ARCHANA</t>
  </si>
  <si>
    <t>Rangapoor</t>
  </si>
  <si>
    <t>Arun</t>
  </si>
  <si>
    <t xml:space="preserve">RANGAMPALLI </t>
  </si>
  <si>
    <t>Ashwith</t>
  </si>
  <si>
    <t>Rangampalli</t>
  </si>
  <si>
    <t xml:space="preserve">Shatavahana University </t>
  </si>
  <si>
    <t>BHARATH</t>
  </si>
  <si>
    <t>Rangaiahpally</t>
  </si>
  <si>
    <t>Bharathi</t>
  </si>
  <si>
    <t>Ranapoor</t>
  </si>
  <si>
    <t>Bhaskar</t>
  </si>
  <si>
    <t>Rampalli</t>
  </si>
  <si>
    <t xml:space="preserve">Shatavahana university </t>
  </si>
  <si>
    <t>Bindhaas</t>
  </si>
  <si>
    <t>Ramaraopalli</t>
  </si>
  <si>
    <t>Brahmam</t>
  </si>
  <si>
    <t>Burra</t>
  </si>
  <si>
    <t xml:space="preserve">Ramakrishnapur </t>
  </si>
  <si>
    <t>Shatavahana University</t>
  </si>
  <si>
    <t>CHAITHANYA</t>
  </si>
  <si>
    <t>Ramakrishnapur</t>
  </si>
  <si>
    <t>Shatavahana university</t>
  </si>
  <si>
    <t>chaithanya</t>
  </si>
  <si>
    <t>Ramaiah palli</t>
  </si>
  <si>
    <t>Chanakya</t>
  </si>
  <si>
    <t xml:space="preserve">Ramagundam </t>
  </si>
  <si>
    <t>Chandini</t>
  </si>
  <si>
    <t>Ramadugu</t>
  </si>
  <si>
    <t>chethi</t>
  </si>
  <si>
    <t xml:space="preserve">Rajapet </t>
  </si>
  <si>
    <t>chindam</t>
  </si>
  <si>
    <t>Rajapet</t>
  </si>
  <si>
    <t>Shatavahana</t>
  </si>
  <si>
    <t>dhodde</t>
  </si>
  <si>
    <t xml:space="preserve">Raghavapur </t>
  </si>
  <si>
    <t>Dileep</t>
  </si>
  <si>
    <t>Divya</t>
  </si>
  <si>
    <t>DODDE</t>
  </si>
  <si>
    <t>dodde</t>
  </si>
  <si>
    <t>Shatavaha university</t>
  </si>
  <si>
    <t>Duvvasi</t>
  </si>
  <si>
    <t>Shatavaha</t>
  </si>
  <si>
    <t>Erukala</t>
  </si>
  <si>
    <t>Sggp</t>
  </si>
  <si>
    <t>Gajarla</t>
  </si>
  <si>
    <t>Secondary Board of Telangana</t>
  </si>
  <si>
    <t>Gajjeli</t>
  </si>
  <si>
    <t>Raghavapur</t>
  </si>
  <si>
    <t>Sdlce ku</t>
  </si>
  <si>
    <t>ganesh</t>
  </si>
  <si>
    <t xml:space="preserve">Raghavapour </t>
  </si>
  <si>
    <t>SBTET</t>
  </si>
  <si>
    <t>gorre</t>
  </si>
  <si>
    <t>Ragadimaddikunta</t>
  </si>
  <si>
    <t>Sathvahana University</t>
  </si>
  <si>
    <t>Gouthami</t>
  </si>
  <si>
    <t>Pulimamidi</t>
  </si>
  <si>
    <t>Sathavana University</t>
  </si>
  <si>
    <t>harika</t>
  </si>
  <si>
    <t>Ppeddakalwala</t>
  </si>
  <si>
    <t>Sathavahanaa</t>
  </si>
  <si>
    <t>Harikiran</t>
  </si>
  <si>
    <t>Pothkapalli</t>
  </si>
  <si>
    <t xml:space="preserve">Sathavahana University </t>
  </si>
  <si>
    <t>Harish</t>
  </si>
  <si>
    <t>HARISH</t>
  </si>
  <si>
    <t xml:space="preserve">POTHANA COLONY </t>
  </si>
  <si>
    <t>Poosala</t>
  </si>
  <si>
    <t>harshith</t>
  </si>
  <si>
    <t>Sathavahana University</t>
  </si>
  <si>
    <t>Hazaroddin</t>
  </si>
  <si>
    <t>Sathavahana university</t>
  </si>
  <si>
    <t>Jayanth</t>
  </si>
  <si>
    <t>Jyothi</t>
  </si>
  <si>
    <t>jyothsna</t>
  </si>
  <si>
    <t xml:space="preserve">Pochavaram kallur MDL Khammam district Telangana </t>
  </si>
  <si>
    <t>kalva</t>
  </si>
  <si>
    <t xml:space="preserve">Pittala Yellaiah palle </t>
  </si>
  <si>
    <t>Kalyani</t>
  </si>
  <si>
    <t>Pegadapalli</t>
  </si>
  <si>
    <t>Sathavahana univarsiti karimnagar</t>
  </si>
  <si>
    <t>kalyani</t>
  </si>
  <si>
    <t>Pedhamma nagar peddapalli</t>
  </si>
  <si>
    <t xml:space="preserve">Sathavahana </t>
  </si>
  <si>
    <t>KALYANI</t>
  </si>
  <si>
    <t xml:space="preserve">Peddapur </t>
  </si>
  <si>
    <t>karthik</t>
  </si>
  <si>
    <t>Peddapur</t>
  </si>
  <si>
    <t xml:space="preserve">Peddapally </t>
  </si>
  <si>
    <t>kavya</t>
  </si>
  <si>
    <t>Peddapally</t>
  </si>
  <si>
    <t>Sathavahana</t>
  </si>
  <si>
    <t>Kavya</t>
  </si>
  <si>
    <t xml:space="preserve">Peddapalli </t>
  </si>
  <si>
    <t>keerthana</t>
  </si>
  <si>
    <t>khaja</t>
  </si>
  <si>
    <t xml:space="preserve">Satavahana University karimnagar </t>
  </si>
  <si>
    <t>Kiran</t>
  </si>
  <si>
    <t xml:space="preserve">SATAVAHANA University </t>
  </si>
  <si>
    <t>komalatha</t>
  </si>
  <si>
    <t xml:space="preserve">Satavahana University </t>
  </si>
  <si>
    <t xml:space="preserve">SATAVAHANA UNIVERSITY </t>
  </si>
  <si>
    <t>Komatipally</t>
  </si>
  <si>
    <t>Konka</t>
  </si>
  <si>
    <t>Kumar</t>
  </si>
  <si>
    <t>kumar</t>
  </si>
  <si>
    <t>lavanya</t>
  </si>
  <si>
    <t>Laxman</t>
  </si>
  <si>
    <t>LAXMAN</t>
  </si>
  <si>
    <t>LAXMI</t>
  </si>
  <si>
    <t>Laxmiprasanna</t>
  </si>
  <si>
    <t>Peddapalli</t>
  </si>
  <si>
    <t>layasri</t>
  </si>
  <si>
    <t xml:space="preserve">Satavahana university </t>
  </si>
  <si>
    <t>macharla</t>
  </si>
  <si>
    <t>Macherla</t>
  </si>
  <si>
    <t>Madhu</t>
  </si>
  <si>
    <t>MAHANKALI</t>
  </si>
  <si>
    <t>Christian</t>
  </si>
  <si>
    <t>mahesh</t>
  </si>
  <si>
    <t>Peddakalwala</t>
  </si>
  <si>
    <t>Mahesh</t>
  </si>
  <si>
    <t>MAHESH</t>
  </si>
  <si>
    <t>MAHESHWARACHARY</t>
  </si>
  <si>
    <t>Peddakalvala</t>
  </si>
  <si>
    <t>Maheshwari</t>
  </si>
  <si>
    <t>Peddabonkur</t>
  </si>
  <si>
    <t>Mallesh</t>
  </si>
  <si>
    <t xml:space="preserve">Pandilla </t>
  </si>
  <si>
    <t>Mallika</t>
  </si>
  <si>
    <t xml:space="preserve">Panagal </t>
  </si>
  <si>
    <t>mamatha</t>
  </si>
  <si>
    <t xml:space="preserve">Palakurthy </t>
  </si>
  <si>
    <t>Mamatha</t>
  </si>
  <si>
    <t xml:space="preserve">Palakurthi </t>
  </si>
  <si>
    <t>Pahilwanpur</t>
  </si>
  <si>
    <t>Ootur</t>
  </si>
  <si>
    <t>Manasa</t>
  </si>
  <si>
    <t>Odela</t>
  </si>
  <si>
    <t>Manimeghala</t>
  </si>
  <si>
    <t>MANOHER</t>
  </si>
  <si>
    <t>NTPC autonagar</t>
  </si>
  <si>
    <t>MANOJ</t>
  </si>
  <si>
    <t>NTPC Annapurna colony</t>
  </si>
  <si>
    <t>manoj</t>
  </si>
  <si>
    <t>Nittur</t>
  </si>
  <si>
    <t>Manoj</t>
  </si>
  <si>
    <t>MARUTHI</t>
  </si>
  <si>
    <t>Mohana</t>
  </si>
  <si>
    <t>Nimmanapalli</t>
  </si>
  <si>
    <t>mounika</t>
  </si>
  <si>
    <t>Mounika</t>
  </si>
  <si>
    <t xml:space="preserve">Neerukulla </t>
  </si>
  <si>
    <t>Narsapoor</t>
  </si>
  <si>
    <t>MOUNIKA</t>
  </si>
  <si>
    <t>Narsakkapet</t>
  </si>
  <si>
    <t>Nagaraju</t>
  </si>
  <si>
    <t>Narayapoor,kotgapera.</t>
  </si>
  <si>
    <t>nagaraju</t>
  </si>
  <si>
    <t>Narayanapoor</t>
  </si>
  <si>
    <t>Nagendra</t>
  </si>
  <si>
    <t>Nagunuri</t>
  </si>
  <si>
    <t xml:space="preserve">Mutharam </t>
  </si>
  <si>
    <t>Nalini</t>
  </si>
  <si>
    <t>NARESH</t>
  </si>
  <si>
    <t>Muskanipet</t>
  </si>
  <si>
    <t>Naveen</t>
  </si>
  <si>
    <t xml:space="preserve">Muppirithota </t>
  </si>
  <si>
    <t>naveen</t>
  </si>
  <si>
    <t>Muppirithota</t>
  </si>
  <si>
    <t xml:space="preserve">Mulasala </t>
  </si>
  <si>
    <t>Mulasala</t>
  </si>
  <si>
    <t>Naveena</t>
  </si>
  <si>
    <t>navya</t>
  </si>
  <si>
    <t xml:space="preserve">Miyapoor </t>
  </si>
  <si>
    <t>Navya</t>
  </si>
  <si>
    <t>Miyapoor</t>
  </si>
  <si>
    <t>nikhitha</t>
  </si>
  <si>
    <t>niroja</t>
  </si>
  <si>
    <t>marey</t>
  </si>
  <si>
    <t>oddam</t>
  </si>
  <si>
    <t>Mangapeta</t>
  </si>
  <si>
    <t>odelu</t>
  </si>
  <si>
    <t xml:space="preserve">Mangapet </t>
  </si>
  <si>
    <t>padma</t>
  </si>
  <si>
    <t>Mangapet</t>
  </si>
  <si>
    <t>Pakanati</t>
  </si>
  <si>
    <t>pambala</t>
  </si>
  <si>
    <t xml:space="preserve">Manchirami </t>
  </si>
  <si>
    <t>parsha</t>
  </si>
  <si>
    <t>Mancherial</t>
  </si>
  <si>
    <t>pavan</t>
  </si>
  <si>
    <t>Polaboina</t>
  </si>
  <si>
    <t xml:space="preserve">Mancharami </t>
  </si>
  <si>
    <t>Ponnam</t>
  </si>
  <si>
    <t>Mancharami</t>
  </si>
  <si>
    <t>Pooja</t>
  </si>
  <si>
    <t xml:space="preserve">Mallial </t>
  </si>
  <si>
    <t>POOJITHA</t>
  </si>
  <si>
    <t>Mallial</t>
  </si>
  <si>
    <t>prabhandha</t>
  </si>
  <si>
    <t xml:space="preserve">Mallannapally </t>
  </si>
  <si>
    <t>pranith</t>
  </si>
  <si>
    <t>Mailaram</t>
  </si>
  <si>
    <t>Prasad</t>
  </si>
  <si>
    <t>Madhikal</t>
  </si>
  <si>
    <t>prasanth</t>
  </si>
  <si>
    <t>MADAKA</t>
  </si>
  <si>
    <t>PRASHANTH</t>
  </si>
  <si>
    <t>Prashanth</t>
  </si>
  <si>
    <t>Machirami</t>
  </si>
  <si>
    <t xml:space="preserve">Lokapeta </t>
  </si>
  <si>
    <t>Prashanthi</t>
  </si>
  <si>
    <t>Laxmipur</t>
  </si>
  <si>
    <t>prashanthi</t>
  </si>
  <si>
    <t>Lalapally</t>
  </si>
  <si>
    <t>prathyusha</t>
  </si>
  <si>
    <t>Ladnapur</t>
  </si>
  <si>
    <t>Ladhnapoor</t>
  </si>
  <si>
    <t>Pravalika</t>
  </si>
  <si>
    <t xml:space="preserve">Kundhanapally </t>
  </si>
  <si>
    <t>pravalika</t>
  </si>
  <si>
    <t>Kunaram</t>
  </si>
  <si>
    <t>Kummarikunta</t>
  </si>
  <si>
    <t xml:space="preserve">Kukkalagudur </t>
  </si>
  <si>
    <t>Kukkalagudur</t>
  </si>
  <si>
    <t>Kothappali</t>
  </si>
  <si>
    <t>Kothapally</t>
  </si>
  <si>
    <t xml:space="preserve">Kothapalli </t>
  </si>
  <si>
    <t>praveena</t>
  </si>
  <si>
    <t>Preethi</t>
  </si>
  <si>
    <t>priyanka</t>
  </si>
  <si>
    <t>Rachana</t>
  </si>
  <si>
    <t>radhika</t>
  </si>
  <si>
    <t>Kothapalli</t>
  </si>
  <si>
    <t>raghu</t>
  </si>
  <si>
    <t>Korkal</t>
  </si>
  <si>
    <t>rahul</t>
  </si>
  <si>
    <t>Kondapaka</t>
  </si>
  <si>
    <t>RAJ</t>
  </si>
  <si>
    <t>Komera</t>
  </si>
  <si>
    <t>rajesh</t>
  </si>
  <si>
    <t>Rajesh</t>
  </si>
  <si>
    <t xml:space="preserve">Kolanoor </t>
  </si>
  <si>
    <t xml:space="preserve">KOLANOOR </t>
  </si>
  <si>
    <t>Rajitha</t>
  </si>
  <si>
    <t>RAJITHA</t>
  </si>
  <si>
    <t>Rajkiran</t>
  </si>
  <si>
    <t>Rajkumaar</t>
  </si>
  <si>
    <t>rajkumar</t>
  </si>
  <si>
    <t>Rajkumar</t>
  </si>
  <si>
    <t>Kolanoor</t>
  </si>
  <si>
    <t>KOLANOOR</t>
  </si>
  <si>
    <t>KoLANOOR</t>
  </si>
  <si>
    <t>raju</t>
  </si>
  <si>
    <t>rakesh</t>
  </si>
  <si>
    <t>Rakesh</t>
  </si>
  <si>
    <t>kolanoor</t>
  </si>
  <si>
    <t>RAKESH</t>
  </si>
  <si>
    <t>Satavahana university</t>
  </si>
  <si>
    <t>ramagiri</t>
  </si>
  <si>
    <t>Ramakanth</t>
  </si>
  <si>
    <t>Ramakrishna</t>
  </si>
  <si>
    <t>RAMANJAN</t>
  </si>
  <si>
    <t>Ramesh</t>
  </si>
  <si>
    <t xml:space="preserve">Kodurupaka </t>
  </si>
  <si>
    <t>ramesh</t>
  </si>
  <si>
    <t>Kodurupaka</t>
  </si>
  <si>
    <t xml:space="preserve">Khandeballur </t>
  </si>
  <si>
    <t xml:space="preserve">Khammam </t>
  </si>
  <si>
    <t>RAMESH</t>
  </si>
  <si>
    <t xml:space="preserve">Kasulapalli </t>
  </si>
  <si>
    <t>SATAVAHANA UNIVERSITY</t>
  </si>
  <si>
    <t>Ramu</t>
  </si>
  <si>
    <t>Karimnagar</t>
  </si>
  <si>
    <t>Ramya</t>
  </si>
  <si>
    <t>KAPULAPALLI</t>
  </si>
  <si>
    <t>ramya</t>
  </si>
  <si>
    <t>Kapulapalli</t>
  </si>
  <si>
    <t>Kanulula</t>
  </si>
  <si>
    <t xml:space="preserve">Kanukula </t>
  </si>
  <si>
    <t>RAVALI</t>
  </si>
  <si>
    <t>Kanukula</t>
  </si>
  <si>
    <t>Ravali</t>
  </si>
  <si>
    <t>kanukula</t>
  </si>
  <si>
    <t>ravalika</t>
  </si>
  <si>
    <t xml:space="preserve">Kannala </t>
  </si>
  <si>
    <t>RAVI</t>
  </si>
  <si>
    <t>Kannala</t>
  </si>
  <si>
    <t>Satavahana univarsity</t>
  </si>
  <si>
    <t>Ravi</t>
  </si>
  <si>
    <t xml:space="preserve">Satavahana </t>
  </si>
  <si>
    <t>raviteja</t>
  </si>
  <si>
    <t xml:space="preserve">Kanagathri </t>
  </si>
  <si>
    <t>reddy</t>
  </si>
  <si>
    <t>Kanagathi</t>
  </si>
  <si>
    <t>Rohit</t>
  </si>
  <si>
    <t>Kanagarthi (kapulapalli)</t>
  </si>
  <si>
    <t>Rohith</t>
  </si>
  <si>
    <t xml:space="preserve">KANAGARTHI </t>
  </si>
  <si>
    <t>Roshini</t>
  </si>
  <si>
    <t>satavahana</t>
  </si>
  <si>
    <t xml:space="preserve">Kanagarthi </t>
  </si>
  <si>
    <t>Satavahana</t>
  </si>
  <si>
    <t>Ruchitha</t>
  </si>
  <si>
    <t>SAFA</t>
  </si>
  <si>
    <t>SATAVAHANA</t>
  </si>
  <si>
    <t>sagar</t>
  </si>
  <si>
    <t>Sagar</t>
  </si>
  <si>
    <t>SAGAR</t>
  </si>
  <si>
    <t>SAGARIKA</t>
  </si>
  <si>
    <t>sagarika</t>
  </si>
  <si>
    <t>Kanagarthi</t>
  </si>
  <si>
    <t>sahera</t>
  </si>
  <si>
    <t>Sahithi</t>
  </si>
  <si>
    <t xml:space="preserve">Sahaja institute of technology and science for women </t>
  </si>
  <si>
    <t>Sai</t>
  </si>
  <si>
    <t>Sahaja engineering college</t>
  </si>
  <si>
    <t>sai</t>
  </si>
  <si>
    <t xml:space="preserve">Palamuru University </t>
  </si>
  <si>
    <t xml:space="preserve">Osmania University </t>
  </si>
  <si>
    <t>SAI</t>
  </si>
  <si>
    <t>Saicharan</t>
  </si>
  <si>
    <t>Saikumar</t>
  </si>
  <si>
    <t>saipriya</t>
  </si>
  <si>
    <t>Sairaj</t>
  </si>
  <si>
    <t>sairam</t>
  </si>
  <si>
    <t xml:space="preserve">Osmania university </t>
  </si>
  <si>
    <t>Sairam</t>
  </si>
  <si>
    <t>Osmania university</t>
  </si>
  <si>
    <t>saisheshank</t>
  </si>
  <si>
    <t>Osmania University</t>
  </si>
  <si>
    <t>SAITEJA</t>
  </si>
  <si>
    <t>saivani</t>
  </si>
  <si>
    <t xml:space="preserve">Osmania </t>
  </si>
  <si>
    <t>SALMAN</t>
  </si>
  <si>
    <t xml:space="preserve">NATIONAL COUNCIL FOR VOCATIONAL TRAINING </t>
  </si>
  <si>
    <t>Samith</t>
  </si>
  <si>
    <t>Mother Theressa college of engineering&amp;Technology</t>
  </si>
  <si>
    <t>SAMPATH</t>
  </si>
  <si>
    <t>MJPSWRDC</t>
  </si>
  <si>
    <t>Sampath</t>
  </si>
  <si>
    <t>Ministry of skill development and entrepreneurship</t>
  </si>
  <si>
    <t>samreen</t>
  </si>
  <si>
    <t>Sandeep</t>
  </si>
  <si>
    <t>KANAGARTHI</t>
  </si>
  <si>
    <t>Mims degree college</t>
  </si>
  <si>
    <t>SANDEEP</t>
  </si>
  <si>
    <t xml:space="preserve">MGU </t>
  </si>
  <si>
    <t>sandhya</t>
  </si>
  <si>
    <t>kanagarthi</t>
  </si>
  <si>
    <t>Mgu</t>
  </si>
  <si>
    <t xml:space="preserve">Malla Reddy University </t>
  </si>
  <si>
    <t>Malla Reddy college of engineering and technology</t>
  </si>
  <si>
    <t>Sankeerthana</t>
  </si>
  <si>
    <t>Kanagarhi</t>
  </si>
  <si>
    <t xml:space="preserve">Mahatma gandi University Nalgonda </t>
  </si>
  <si>
    <t>sannihitha</t>
  </si>
  <si>
    <t>Kanagarathi</t>
  </si>
  <si>
    <t>Mahatma Gandhi Unit</t>
  </si>
  <si>
    <t>santhosh</t>
  </si>
  <si>
    <t>Kamanpur</t>
  </si>
  <si>
    <t xml:space="preserve">Mahatma Gandhi </t>
  </si>
  <si>
    <t>Kamalapuram</t>
  </si>
  <si>
    <t>Santhosh</t>
  </si>
  <si>
    <t>Kalwasrirampur</t>
  </si>
  <si>
    <t>M b n r</t>
  </si>
  <si>
    <t>Sathish</t>
  </si>
  <si>
    <t>Kalwakuthy</t>
  </si>
  <si>
    <t xml:space="preserve">KSarita university </t>
  </si>
  <si>
    <t>sathwika</t>
  </si>
  <si>
    <t xml:space="preserve">Kalwacherla </t>
  </si>
  <si>
    <t xml:space="preserve">Kamala institute of technology and science </t>
  </si>
  <si>
    <t>sathyanarayana</t>
  </si>
  <si>
    <t xml:space="preserve">Kakatya </t>
  </si>
  <si>
    <t>Shalini</t>
  </si>
  <si>
    <t>Kalvasrirampur</t>
  </si>
  <si>
    <t xml:space="preserve">Kakatiya University </t>
  </si>
  <si>
    <t>sharadha</t>
  </si>
  <si>
    <t>Sharath</t>
  </si>
  <si>
    <t xml:space="preserve">Kalvacherla </t>
  </si>
  <si>
    <t>SHARUKH</t>
  </si>
  <si>
    <t>sheik</t>
  </si>
  <si>
    <t>Kachapur</t>
  </si>
  <si>
    <t>Shireesha</t>
  </si>
  <si>
    <t>shireesha</t>
  </si>
  <si>
    <t xml:space="preserve">Jeelakunta </t>
  </si>
  <si>
    <t>Shirisha</t>
  </si>
  <si>
    <t>Jeelakunta</t>
  </si>
  <si>
    <t>shirisha</t>
  </si>
  <si>
    <t xml:space="preserve">Kakatiya university </t>
  </si>
  <si>
    <t>SHIRISHA</t>
  </si>
  <si>
    <t>Jayyaram</t>
  </si>
  <si>
    <t xml:space="preserve">KAKATIYA UNIVERSITY </t>
  </si>
  <si>
    <t>shiva</t>
  </si>
  <si>
    <t>Kakatiya University</t>
  </si>
  <si>
    <t>Shivakumar</t>
  </si>
  <si>
    <t>Itharajapalli</t>
  </si>
  <si>
    <t>shivakumar</t>
  </si>
  <si>
    <t>Irvin</t>
  </si>
  <si>
    <t>Huzurabad</t>
  </si>
  <si>
    <t>Kakatiya ug</t>
  </si>
  <si>
    <t>Shivani</t>
  </si>
  <si>
    <t xml:space="preserve">Hunmanthunpet </t>
  </si>
  <si>
    <t xml:space="preserve">Kakathiya University </t>
  </si>
  <si>
    <t xml:space="preserve">Harshaguda </t>
  </si>
  <si>
    <t>shravani</t>
  </si>
  <si>
    <t xml:space="preserve">Haripuram </t>
  </si>
  <si>
    <t>Shruthi</t>
  </si>
  <si>
    <t>Haripuram</t>
  </si>
  <si>
    <t>Kakathiya</t>
  </si>
  <si>
    <t>shruthika</t>
  </si>
  <si>
    <t>Haripura</t>
  </si>
  <si>
    <t xml:space="preserve">Kakarikaya University </t>
  </si>
  <si>
    <t>shyam</t>
  </si>
  <si>
    <t>Haripirala</t>
  </si>
  <si>
    <t xml:space="preserve">Junior college </t>
  </si>
  <si>
    <t>shyamala</t>
  </si>
  <si>
    <t>Hanumanthunipet</t>
  </si>
  <si>
    <t>JNTUH(medak engineering college)</t>
  </si>
  <si>
    <t>Simran</t>
  </si>
  <si>
    <t>Gurrampalli</t>
  </si>
  <si>
    <t xml:space="preserve">JNTUH </t>
  </si>
  <si>
    <t>SINDHU</t>
  </si>
  <si>
    <t>Jntu-H</t>
  </si>
  <si>
    <t>Sohail</t>
  </si>
  <si>
    <t>JNTUH</t>
  </si>
  <si>
    <t>Soumya</t>
  </si>
  <si>
    <t>GUMPULA</t>
  </si>
  <si>
    <t>soumya</t>
  </si>
  <si>
    <t>Gumpula</t>
  </si>
  <si>
    <t>Gumnoor</t>
  </si>
  <si>
    <t xml:space="preserve">GUJJULAPALLI </t>
  </si>
  <si>
    <t>soundarya</t>
  </si>
  <si>
    <t>Gudem</t>
  </si>
  <si>
    <t>sowmya</t>
  </si>
  <si>
    <t>Gowreddypeta</t>
  </si>
  <si>
    <t>Gowreddipet</t>
  </si>
  <si>
    <t>spandana</t>
  </si>
  <si>
    <t>Goparapalli</t>
  </si>
  <si>
    <t>Jntuh</t>
  </si>
  <si>
    <t>Sravani</t>
  </si>
  <si>
    <t xml:space="preserve">Godavarikhani </t>
  </si>
  <si>
    <t>sravani</t>
  </si>
  <si>
    <t>Sravanthi</t>
  </si>
  <si>
    <t>Godavarikhani</t>
  </si>
  <si>
    <t>sravanthi</t>
  </si>
  <si>
    <t xml:space="preserve">Gattepalli </t>
  </si>
  <si>
    <t>sravika</t>
  </si>
  <si>
    <t>Gattepalle</t>
  </si>
  <si>
    <t>sravyasri</t>
  </si>
  <si>
    <t>Gangaram</t>
  </si>
  <si>
    <t>Sri</t>
  </si>
  <si>
    <t>Srichandhana</t>
  </si>
  <si>
    <t>Sridhar</t>
  </si>
  <si>
    <t>sridivya</t>
  </si>
  <si>
    <t>srija</t>
  </si>
  <si>
    <t>srikanth</t>
  </si>
  <si>
    <t xml:space="preserve">Eligaid </t>
  </si>
  <si>
    <t>Srikanth</t>
  </si>
  <si>
    <t>Eklaspur</t>
  </si>
  <si>
    <t xml:space="preserve">Dhavanapalli </t>
  </si>
  <si>
    <t>Dharmapuri</t>
  </si>
  <si>
    <t xml:space="preserve">Deshaipet road </t>
  </si>
  <si>
    <t xml:space="preserve">Choppadandi </t>
  </si>
  <si>
    <t>Choppadandi</t>
  </si>
  <si>
    <t>Chinnakalwala</t>
  </si>
  <si>
    <t>Chinnakalvala</t>
  </si>
  <si>
    <t>srilatha</t>
  </si>
  <si>
    <t>CHINNAKALVALA</t>
  </si>
  <si>
    <t>srilekha</t>
  </si>
  <si>
    <t>Srinivas</t>
  </si>
  <si>
    <t>srinivas</t>
  </si>
  <si>
    <t>chinnakalvala</t>
  </si>
  <si>
    <t>Chennur</t>
  </si>
  <si>
    <t>JNTuH</t>
  </si>
  <si>
    <t>sriram</t>
  </si>
  <si>
    <t>Cheekurai</t>
  </si>
  <si>
    <t>srivani</t>
  </si>
  <si>
    <t xml:space="preserve">Chandhapalli </t>
  </si>
  <si>
    <t>Chandhapalli</t>
  </si>
  <si>
    <t>Srivani</t>
  </si>
  <si>
    <t xml:space="preserve">Chandapalli </t>
  </si>
  <si>
    <t>srividya</t>
  </si>
  <si>
    <t>Chandapalli</t>
  </si>
  <si>
    <t>suma</t>
  </si>
  <si>
    <t xml:space="preserve">Chalmareddygudem </t>
  </si>
  <si>
    <t>Supraja</t>
  </si>
  <si>
    <t xml:space="preserve">Centenary colony </t>
  </si>
  <si>
    <t xml:space="preserve">JNTU </t>
  </si>
  <si>
    <t>suprathika</t>
  </si>
  <si>
    <t>Ccc</t>
  </si>
  <si>
    <t>Supriya</t>
  </si>
  <si>
    <t>Buddharam</t>
  </si>
  <si>
    <t>JNTU</t>
  </si>
  <si>
    <t>supriya</t>
  </si>
  <si>
    <t xml:space="preserve">Brahmanpalli </t>
  </si>
  <si>
    <t xml:space="preserve">Bompally </t>
  </si>
  <si>
    <t>Jntu</t>
  </si>
  <si>
    <t>SURESH</t>
  </si>
  <si>
    <t>SURYA</t>
  </si>
  <si>
    <t>suryavamshi</t>
  </si>
  <si>
    <t>susmitha</t>
  </si>
  <si>
    <t>Bojannapet</t>
  </si>
  <si>
    <t>swamy</t>
  </si>
  <si>
    <t>Bhupalpally</t>
  </si>
  <si>
    <t>swapna</t>
  </si>
  <si>
    <t>Bhojannapet</t>
  </si>
  <si>
    <t>Swathi</t>
  </si>
  <si>
    <t xml:space="preserve">Bheemsary </t>
  </si>
  <si>
    <t>Bheemarapalli</t>
  </si>
  <si>
    <t xml:space="preserve">Jawaharlal Nehru University </t>
  </si>
  <si>
    <t>Swetha</t>
  </si>
  <si>
    <t>Begumpet x road,nagepalli</t>
  </si>
  <si>
    <t>Jawaharlal Nehru Technological University Hyderabad</t>
  </si>
  <si>
    <t>Teja</t>
  </si>
  <si>
    <t>Basanthnagar</t>
  </si>
  <si>
    <t>Jawaharlal Nehru polytechnic college Ramanathapur</t>
  </si>
  <si>
    <t>Tejasri</t>
  </si>
  <si>
    <t xml:space="preserve">JAVAHARLAL NEHRU UNIVERSITY </t>
  </si>
  <si>
    <t>Thallapalli</t>
  </si>
  <si>
    <t>Basanth nagar , Indra nagar Ho.N : 7-103</t>
  </si>
  <si>
    <t>Jammikunta vocational collage</t>
  </si>
  <si>
    <t>Thatha</t>
  </si>
  <si>
    <t xml:space="preserve">Ashannapalli </t>
  </si>
  <si>
    <t>Iti</t>
  </si>
  <si>
    <t>Thota</t>
  </si>
  <si>
    <t>Ashannapalli</t>
  </si>
  <si>
    <t>Intermediate open school ts</t>
  </si>
  <si>
    <t>Tulasiram</t>
  </si>
  <si>
    <t xml:space="preserve">Arepally, pandilla </t>
  </si>
  <si>
    <t>Inter bord of Hyderabad</t>
  </si>
  <si>
    <t>uday</t>
  </si>
  <si>
    <t xml:space="preserve">Appannapet </t>
  </si>
  <si>
    <t>IIT(BHU)</t>
  </si>
  <si>
    <t>Uma</t>
  </si>
  <si>
    <t xml:space="preserve">Hemavati Nandan Bahuguna Garhwal University </t>
  </si>
  <si>
    <t>Uppula</t>
  </si>
  <si>
    <t xml:space="preserve">APPANNAPET </t>
  </si>
  <si>
    <t>Govt. Polytechnic fir women</t>
  </si>
  <si>
    <t>Vadlanikhilchary</t>
  </si>
  <si>
    <t>Government Polytechnic College Warangal</t>
  </si>
  <si>
    <t>Vajrala</t>
  </si>
  <si>
    <t>Appannapet</t>
  </si>
  <si>
    <t xml:space="preserve">Government junior inter College peddapally </t>
  </si>
  <si>
    <t>Vamshi</t>
  </si>
  <si>
    <t xml:space="preserve">Government i i i peddapally </t>
  </si>
  <si>
    <t>VAMSHI</t>
  </si>
  <si>
    <t>Government</t>
  </si>
  <si>
    <t>vamshi</t>
  </si>
  <si>
    <t>Ankampalli</t>
  </si>
  <si>
    <t>Governament ITI Peddapally</t>
  </si>
  <si>
    <t xml:space="preserve">Githan university </t>
  </si>
  <si>
    <t xml:space="preserve">Andugulapally </t>
  </si>
  <si>
    <t>Githam University</t>
  </si>
  <si>
    <t>Andugulapally</t>
  </si>
  <si>
    <t xml:space="preserve">Gandhi memorial mahila degree college </t>
  </si>
  <si>
    <t>VAMSHIKRISHNA</t>
  </si>
  <si>
    <t xml:space="preserve">Andugulapalli </t>
  </si>
  <si>
    <t xml:space="preserve">Dr. Br AMBEDKAR OPEN UNIVERSITY </t>
  </si>
  <si>
    <t>Andugulapalli</t>
  </si>
  <si>
    <t>DR BR AMBEDKAR UNIVERSITY</t>
  </si>
  <si>
    <t>vamshikrishna</t>
  </si>
  <si>
    <t>Chaitanya demeed university</t>
  </si>
  <si>
    <t>varma</t>
  </si>
  <si>
    <t>Allipoor, Regadimaddikunta</t>
  </si>
  <si>
    <t>CBIT</t>
  </si>
  <si>
    <t>Vasantha</t>
  </si>
  <si>
    <t xml:space="preserve">Agganoor </t>
  </si>
  <si>
    <t>B com computers</t>
  </si>
  <si>
    <t>venkatesh</t>
  </si>
  <si>
    <t>Adhivarampeta</t>
  </si>
  <si>
    <t>Arjun collage of technology &amp; science</t>
  </si>
  <si>
    <t>VENKATESH</t>
  </si>
  <si>
    <t xml:space="preserve">Adavisrirampoor </t>
  </si>
  <si>
    <t>Ambedkar open University</t>
  </si>
  <si>
    <t xml:space="preserve">Abbapuram </t>
  </si>
  <si>
    <t>Abbapur</t>
  </si>
  <si>
    <t xml:space="preserve">Ambedhkar university </t>
  </si>
  <si>
    <t>Abbapoor</t>
  </si>
  <si>
    <t xml:space="preserve">Alphores junior college </t>
  </si>
  <si>
    <t xml:space="preserve"> Kalva Srirampur</t>
  </si>
  <si>
    <t>Acharya Nagarjuna university</t>
  </si>
  <si>
    <t xml:space="preserve"> satavana University</t>
  </si>
  <si>
    <t>venu</t>
  </si>
  <si>
    <t>VIDARSH</t>
  </si>
  <si>
    <t>VIDYA</t>
  </si>
  <si>
    <t>vignan</t>
  </si>
  <si>
    <t>Vijay</t>
  </si>
  <si>
    <t>vinay</t>
  </si>
  <si>
    <t>VINAY</t>
  </si>
  <si>
    <t>Vinay</t>
  </si>
  <si>
    <t>Vinaykumar</t>
  </si>
  <si>
    <t>vishnu</t>
  </si>
  <si>
    <t>Vishnu</t>
  </si>
  <si>
    <t>Vodnala</t>
  </si>
  <si>
    <t>Yeluvaka</t>
  </si>
  <si>
    <t>Shthavahanauniversity</t>
  </si>
  <si>
    <t>Shatavahana university. Knr</t>
  </si>
  <si>
    <t>Shatavahana univarsty</t>
  </si>
  <si>
    <t>Arora degree college, Karimnagar</t>
  </si>
  <si>
    <t>Govt</t>
  </si>
  <si>
    <t>Sindhura</t>
  </si>
  <si>
    <t xml:space="preserve">Industrial training institute </t>
  </si>
  <si>
    <t>stacked_marks</t>
  </si>
  <si>
    <t>BSc</t>
  </si>
  <si>
    <t>BTech</t>
  </si>
  <si>
    <t>BCom</t>
  </si>
  <si>
    <t>BSc(Agri)</t>
  </si>
  <si>
    <t>BPharmacy</t>
  </si>
  <si>
    <t>BSc(Biology)</t>
  </si>
  <si>
    <t>Inter</t>
  </si>
  <si>
    <t>BA</t>
  </si>
  <si>
    <t>LLB</t>
  </si>
  <si>
    <t>Diploma</t>
  </si>
  <si>
    <t>MSc</t>
  </si>
  <si>
    <t>ITI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</si>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</sst>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0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lec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95"/>
  <sheetViews>
    <sheetView zoomScale="180" zoomScaleNormal="180" workbookViewId="0">
      <selection sqref="A1:XFD1048576"/>
    </sheetView>
  </sheetViews>
  <sheetFormatPr defaultRowHeight="12.75"/>
  <cols>
    <col min="1" max="1" width="13.5703125" customWidth="1"/>
    <col min="2" max="2" width="17.28515625" customWidth="1"/>
    <col min="4" max="4" width="32.85546875" bestFit="1" customWidth="1"/>
    <col min="7" max="7" width="16.7109375" customWidth="1"/>
    <col min="8" max="8" width="16.5703125" customWidth="1"/>
    <col min="9" max="9" width="12.140625" customWidth="1"/>
    <col min="10" max="10" width="17.140625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</row>
    <row r="2" spans="1:10">
      <c r="A2" t="s">
        <v>10</v>
      </c>
      <c r="B2" s="1" t="s">
        <v>11</v>
      </c>
      <c r="C2" s="1" t="s">
        <v>12</v>
      </c>
      <c r="D2" s="1" t="s">
        <v>13</v>
      </c>
      <c r="E2" s="1">
        <v>2021</v>
      </c>
      <c r="F2" s="1" t="s">
        <v>14</v>
      </c>
      <c r="G2" s="1" t="s">
        <v>15</v>
      </c>
      <c r="H2" s="1" t="s">
        <v>16</v>
      </c>
      <c r="I2">
        <v>53</v>
      </c>
      <c r="J2">
        <v>10</v>
      </c>
    </row>
    <row r="3" spans="1:10">
      <c r="A3" t="s">
        <v>17</v>
      </c>
      <c r="B3" s="1" t="s">
        <v>18</v>
      </c>
      <c r="C3" s="1" t="s">
        <v>12</v>
      </c>
      <c r="D3" s="1" t="s">
        <v>13</v>
      </c>
      <c r="E3" s="1">
        <v>2021</v>
      </c>
      <c r="F3" s="1" t="s">
        <v>14</v>
      </c>
      <c r="G3" s="2" t="s">
        <v>19</v>
      </c>
      <c r="H3" s="1" t="s">
        <v>16</v>
      </c>
      <c r="I3">
        <v>48</v>
      </c>
      <c r="J3">
        <v>3</v>
      </c>
    </row>
    <row r="4" spans="1:10" hidden="1">
      <c r="A4" t="s">
        <v>20</v>
      </c>
      <c r="B4" s="1" t="s">
        <v>21</v>
      </c>
      <c r="C4" s="1" t="s">
        <v>12</v>
      </c>
      <c r="D4" s="1" t="s">
        <v>13</v>
      </c>
      <c r="E4" s="1">
        <v>2021</v>
      </c>
      <c r="F4" s="1" t="s">
        <v>14</v>
      </c>
      <c r="G4" s="2" t="s">
        <v>19</v>
      </c>
      <c r="H4" s="1" t="s">
        <v>22</v>
      </c>
    </row>
    <row r="5" spans="1:10">
      <c r="A5" t="s">
        <v>23</v>
      </c>
      <c r="B5" s="1" t="s">
        <v>24</v>
      </c>
      <c r="C5" s="1" t="s">
        <v>25</v>
      </c>
      <c r="D5" s="1" t="s">
        <v>26</v>
      </c>
      <c r="E5" s="1">
        <v>2017</v>
      </c>
      <c r="F5" s="1" t="s">
        <v>14</v>
      </c>
      <c r="G5" s="1" t="s">
        <v>27</v>
      </c>
      <c r="H5" s="1" t="s">
        <v>16</v>
      </c>
      <c r="I5">
        <v>74</v>
      </c>
      <c r="J5">
        <v>1</v>
      </c>
    </row>
    <row r="6" spans="1:10">
      <c r="A6" t="s">
        <v>28</v>
      </c>
      <c r="B6" s="1" t="s">
        <v>29</v>
      </c>
      <c r="C6" s="1" t="s">
        <v>12</v>
      </c>
      <c r="D6" s="1" t="s">
        <v>30</v>
      </c>
      <c r="E6" s="1">
        <v>2017</v>
      </c>
      <c r="F6" s="1" t="s">
        <v>14</v>
      </c>
      <c r="G6" s="1" t="s">
        <v>31</v>
      </c>
      <c r="H6" s="1" t="s">
        <v>16</v>
      </c>
      <c r="I6">
        <v>27</v>
      </c>
      <c r="J6">
        <v>15</v>
      </c>
    </row>
    <row r="7" spans="1:10" hidden="1">
      <c r="A7" t="s">
        <v>32</v>
      </c>
      <c r="B7" s="1" t="s">
        <v>33</v>
      </c>
      <c r="C7" s="1" t="s">
        <v>25</v>
      </c>
      <c r="D7" s="1" t="s">
        <v>13</v>
      </c>
      <c r="E7" s="1">
        <v>2021</v>
      </c>
      <c r="F7" s="1" t="s">
        <v>14</v>
      </c>
      <c r="G7" s="1" t="s">
        <v>34</v>
      </c>
      <c r="H7" s="1" t="s">
        <v>22</v>
      </c>
    </row>
    <row r="8" spans="1:10">
      <c r="A8" t="s">
        <v>35</v>
      </c>
      <c r="B8" s="1" t="s">
        <v>36</v>
      </c>
      <c r="C8" s="1" t="s">
        <v>25</v>
      </c>
      <c r="D8" s="1" t="s">
        <v>37</v>
      </c>
      <c r="E8" s="1">
        <v>2015</v>
      </c>
      <c r="F8" s="1" t="s">
        <v>14</v>
      </c>
      <c r="G8" s="1" t="s">
        <v>38</v>
      </c>
      <c r="H8" s="1" t="s">
        <v>16</v>
      </c>
      <c r="I8">
        <v>60</v>
      </c>
      <c r="J8">
        <v>20</v>
      </c>
    </row>
    <row r="9" spans="1:10">
      <c r="A9" t="s">
        <v>35</v>
      </c>
      <c r="B9" s="1" t="s">
        <v>36</v>
      </c>
      <c r="C9" s="1" t="s">
        <v>25</v>
      </c>
      <c r="D9" s="1" t="s">
        <v>37</v>
      </c>
      <c r="E9" s="1">
        <v>2021</v>
      </c>
      <c r="F9" s="1" t="s">
        <v>14</v>
      </c>
      <c r="G9" s="1" t="s">
        <v>39</v>
      </c>
      <c r="H9" s="1" t="s">
        <v>16</v>
      </c>
      <c r="I9">
        <v>100</v>
      </c>
      <c r="J9">
        <v>1</v>
      </c>
    </row>
    <row r="10" spans="1:10" hidden="1">
      <c r="A10" t="s">
        <v>32</v>
      </c>
      <c r="B10" s="1" t="s">
        <v>36</v>
      </c>
      <c r="C10" s="1" t="s">
        <v>12</v>
      </c>
      <c r="D10" s="1" t="s">
        <v>37</v>
      </c>
      <c r="E10" s="1">
        <v>2020</v>
      </c>
      <c r="F10" s="1" t="s">
        <v>14</v>
      </c>
      <c r="G10" s="1" t="s">
        <v>40</v>
      </c>
      <c r="H10" s="1" t="s">
        <v>22</v>
      </c>
    </row>
    <row r="11" spans="1:10">
      <c r="A11" t="s">
        <v>41</v>
      </c>
      <c r="B11" s="1" t="s">
        <v>36</v>
      </c>
      <c r="C11" s="1" t="s">
        <v>12</v>
      </c>
      <c r="D11" s="1" t="s">
        <v>37</v>
      </c>
      <c r="E11" s="1">
        <v>2021</v>
      </c>
      <c r="F11" s="1" t="s">
        <v>14</v>
      </c>
      <c r="G11" s="1" t="s">
        <v>42</v>
      </c>
      <c r="H11" s="1" t="s">
        <v>16</v>
      </c>
      <c r="I11">
        <v>80</v>
      </c>
      <c r="J11">
        <v>1</v>
      </c>
    </row>
    <row r="12" spans="1:10">
      <c r="A12" t="s">
        <v>35</v>
      </c>
      <c r="B12" s="1" t="s">
        <v>43</v>
      </c>
      <c r="C12" s="1" t="s">
        <v>25</v>
      </c>
      <c r="D12" s="1" t="s">
        <v>37</v>
      </c>
      <c r="E12" s="1">
        <v>2015</v>
      </c>
      <c r="F12" s="1" t="s">
        <v>14</v>
      </c>
      <c r="G12" s="1" t="s">
        <v>44</v>
      </c>
      <c r="H12" s="1" t="s">
        <v>16</v>
      </c>
      <c r="I12">
        <v>72</v>
      </c>
      <c r="J12">
        <v>9</v>
      </c>
    </row>
    <row r="13" spans="1:10" hidden="1">
      <c r="A13" t="s">
        <v>32</v>
      </c>
      <c r="B13" s="1" t="s">
        <v>45</v>
      </c>
      <c r="C13" s="1" t="s">
        <v>25</v>
      </c>
      <c r="D13" s="1" t="s">
        <v>37</v>
      </c>
      <c r="E13" s="1">
        <v>2021</v>
      </c>
      <c r="F13" s="1" t="s">
        <v>14</v>
      </c>
      <c r="G13" s="2" t="s">
        <v>44</v>
      </c>
      <c r="H13" s="1" t="s">
        <v>22</v>
      </c>
    </row>
    <row r="14" spans="1:10">
      <c r="A14" t="s">
        <v>41</v>
      </c>
      <c r="B14" s="1" t="s">
        <v>46</v>
      </c>
      <c r="C14" s="1" t="s">
        <v>25</v>
      </c>
      <c r="D14" s="1" t="s">
        <v>37</v>
      </c>
      <c r="E14" s="1">
        <v>2021</v>
      </c>
      <c r="F14" s="1" t="s">
        <v>14</v>
      </c>
      <c r="G14" s="2" t="s">
        <v>44</v>
      </c>
      <c r="H14" s="1" t="s">
        <v>16</v>
      </c>
      <c r="I14">
        <v>70</v>
      </c>
      <c r="J14">
        <v>17</v>
      </c>
    </row>
    <row r="15" spans="1:10">
      <c r="A15" t="s">
        <v>35</v>
      </c>
      <c r="B15" s="1" t="s">
        <v>47</v>
      </c>
      <c r="C15" s="1" t="s">
        <v>12</v>
      </c>
      <c r="D15" s="1" t="s">
        <v>37</v>
      </c>
      <c r="E15" s="1">
        <v>2021</v>
      </c>
      <c r="F15" s="1" t="s">
        <v>14</v>
      </c>
      <c r="G15" s="2" t="s">
        <v>44</v>
      </c>
      <c r="H15" s="1" t="s">
        <v>16</v>
      </c>
      <c r="I15">
        <v>38</v>
      </c>
      <c r="J15">
        <v>16</v>
      </c>
    </row>
    <row r="16" spans="1:10" hidden="1">
      <c r="A16" t="s">
        <v>35</v>
      </c>
      <c r="B16" s="1" t="s">
        <v>48</v>
      </c>
      <c r="C16" s="1" t="s">
        <v>12</v>
      </c>
      <c r="D16" s="1" t="s">
        <v>37</v>
      </c>
      <c r="E16" s="1">
        <v>2021</v>
      </c>
      <c r="F16" s="1" t="s">
        <v>14</v>
      </c>
      <c r="G16" s="2" t="s">
        <v>44</v>
      </c>
      <c r="H16" s="1" t="s">
        <v>22</v>
      </c>
    </row>
    <row r="17" spans="1:10">
      <c r="A17" t="s">
        <v>49</v>
      </c>
      <c r="B17" s="1" t="s">
        <v>50</v>
      </c>
      <c r="C17" s="1" t="s">
        <v>12</v>
      </c>
      <c r="D17" s="1" t="s">
        <v>37</v>
      </c>
      <c r="E17" s="1">
        <v>2020</v>
      </c>
      <c r="F17" s="1" t="s">
        <v>14</v>
      </c>
      <c r="G17" s="2" t="s">
        <v>44</v>
      </c>
      <c r="H17" s="1" t="s">
        <v>16</v>
      </c>
      <c r="I17">
        <v>89</v>
      </c>
      <c r="J17">
        <v>15</v>
      </c>
    </row>
    <row r="18" spans="1:10">
      <c r="A18" t="s">
        <v>51</v>
      </c>
      <c r="B18" s="1" t="s">
        <v>52</v>
      </c>
      <c r="C18" s="1" t="s">
        <v>12</v>
      </c>
      <c r="D18" s="1" t="s">
        <v>37</v>
      </c>
      <c r="E18" s="1">
        <v>2021</v>
      </c>
      <c r="F18" s="1" t="s">
        <v>53</v>
      </c>
      <c r="G18" s="2" t="s">
        <v>44</v>
      </c>
      <c r="H18" s="1" t="s">
        <v>16</v>
      </c>
      <c r="I18">
        <v>60</v>
      </c>
      <c r="J18">
        <v>14</v>
      </c>
    </row>
    <row r="19" spans="1:10" hidden="1">
      <c r="A19" t="s">
        <v>49</v>
      </c>
      <c r="B19" s="1" t="s">
        <v>54</v>
      </c>
      <c r="C19" s="1" t="s">
        <v>25</v>
      </c>
      <c r="D19" s="1" t="s">
        <v>37</v>
      </c>
      <c r="E19" s="1">
        <v>2021</v>
      </c>
      <c r="F19" s="1" t="s">
        <v>14</v>
      </c>
      <c r="G19" s="2" t="s">
        <v>44</v>
      </c>
      <c r="H19" s="1" t="s">
        <v>22</v>
      </c>
    </row>
    <row r="20" spans="1:10">
      <c r="A20" t="s">
        <v>51</v>
      </c>
      <c r="B20" s="1" t="s">
        <v>55</v>
      </c>
      <c r="C20" s="1" t="s">
        <v>12</v>
      </c>
      <c r="D20" s="1" t="s">
        <v>37</v>
      </c>
      <c r="E20" s="1">
        <v>2021</v>
      </c>
      <c r="F20" s="1" t="s">
        <v>14</v>
      </c>
      <c r="G20" s="1" t="s">
        <v>56</v>
      </c>
      <c r="H20" s="1" t="s">
        <v>16</v>
      </c>
      <c r="I20">
        <v>61</v>
      </c>
      <c r="J20">
        <v>20</v>
      </c>
    </row>
    <row r="21" spans="1:10">
      <c r="A21" t="s">
        <v>51</v>
      </c>
      <c r="B21" s="1" t="s">
        <v>55</v>
      </c>
      <c r="C21" s="1" t="s">
        <v>12</v>
      </c>
      <c r="D21" s="1" t="s">
        <v>37</v>
      </c>
      <c r="E21" s="1">
        <v>2021</v>
      </c>
      <c r="F21" s="1" t="s">
        <v>53</v>
      </c>
      <c r="G21" s="1" t="s">
        <v>57</v>
      </c>
      <c r="H21" s="1" t="s">
        <v>16</v>
      </c>
      <c r="I21">
        <v>93</v>
      </c>
      <c r="J21">
        <v>16</v>
      </c>
    </row>
    <row r="22" spans="1:10" hidden="1">
      <c r="A22" t="s">
        <v>49</v>
      </c>
      <c r="B22" s="1" t="s">
        <v>55</v>
      </c>
      <c r="C22" s="1" t="s">
        <v>25</v>
      </c>
      <c r="D22" s="1" t="s">
        <v>37</v>
      </c>
      <c r="E22" s="1">
        <v>2021</v>
      </c>
      <c r="F22" s="1" t="s">
        <v>14</v>
      </c>
      <c r="G22" s="1" t="s">
        <v>58</v>
      </c>
      <c r="H22" s="1" t="s">
        <v>22</v>
      </c>
    </row>
    <row r="23" spans="1:10">
      <c r="A23" t="s">
        <v>49</v>
      </c>
      <c r="B23" s="1" t="s">
        <v>59</v>
      </c>
      <c r="C23" s="1" t="s">
        <v>25</v>
      </c>
      <c r="D23" s="1" t="s">
        <v>37</v>
      </c>
      <c r="E23" s="1">
        <v>2021</v>
      </c>
      <c r="F23" s="1" t="s">
        <v>14</v>
      </c>
      <c r="G23" s="1" t="s">
        <v>60</v>
      </c>
      <c r="H23" s="1" t="s">
        <v>16</v>
      </c>
      <c r="I23">
        <v>57</v>
      </c>
      <c r="J23">
        <v>9</v>
      </c>
    </row>
    <row r="24" spans="1:10">
      <c r="A24" t="s">
        <v>61</v>
      </c>
      <c r="B24" s="1" t="s">
        <v>59</v>
      </c>
      <c r="C24" s="1" t="s">
        <v>12</v>
      </c>
      <c r="D24" s="1" t="s">
        <v>37</v>
      </c>
      <c r="E24" s="1">
        <v>2021</v>
      </c>
      <c r="F24" s="1" t="s">
        <v>14</v>
      </c>
      <c r="G24" s="1" t="s">
        <v>62</v>
      </c>
      <c r="H24" s="1" t="s">
        <v>16</v>
      </c>
      <c r="I24">
        <v>99</v>
      </c>
      <c r="J24">
        <v>2</v>
      </c>
    </row>
    <row r="25" spans="1:10" hidden="1">
      <c r="A25" t="s">
        <v>63</v>
      </c>
      <c r="B25" s="1" t="s">
        <v>59</v>
      </c>
      <c r="C25" s="1" t="s">
        <v>12</v>
      </c>
      <c r="D25" s="1" t="s">
        <v>64</v>
      </c>
      <c r="E25" s="1">
        <v>2018</v>
      </c>
      <c r="F25" s="1" t="s">
        <v>14</v>
      </c>
      <c r="G25" s="1" t="s">
        <v>65</v>
      </c>
      <c r="H25" s="1" t="s">
        <v>22</v>
      </c>
    </row>
    <row r="26" spans="1:10">
      <c r="A26" t="s">
        <v>63</v>
      </c>
      <c r="B26" s="1" t="s">
        <v>59</v>
      </c>
      <c r="C26" s="1" t="s">
        <v>25</v>
      </c>
      <c r="D26" s="1" t="s">
        <v>37</v>
      </c>
      <c r="E26" s="1">
        <v>2019</v>
      </c>
      <c r="F26" s="1" t="s">
        <v>53</v>
      </c>
      <c r="G26" s="1" t="s">
        <v>66</v>
      </c>
      <c r="H26" s="1" t="s">
        <v>16</v>
      </c>
      <c r="I26">
        <v>63</v>
      </c>
      <c r="J26">
        <v>4</v>
      </c>
    </row>
    <row r="27" spans="1:10">
      <c r="A27" t="s">
        <v>67</v>
      </c>
      <c r="B27" s="1" t="s">
        <v>59</v>
      </c>
      <c r="C27" s="1" t="s">
        <v>12</v>
      </c>
      <c r="D27" s="1" t="s">
        <v>37</v>
      </c>
      <c r="E27" s="1">
        <v>2020</v>
      </c>
      <c r="F27" s="1" t="s">
        <v>14</v>
      </c>
      <c r="G27" s="1" t="s">
        <v>68</v>
      </c>
      <c r="H27" s="1" t="s">
        <v>16</v>
      </c>
      <c r="I27">
        <v>94</v>
      </c>
      <c r="J27">
        <v>13</v>
      </c>
    </row>
    <row r="28" spans="1:10" hidden="1">
      <c r="A28" t="s">
        <v>69</v>
      </c>
      <c r="B28" s="1" t="s">
        <v>59</v>
      </c>
      <c r="C28" s="1" t="s">
        <v>12</v>
      </c>
      <c r="D28" s="1" t="s">
        <v>37</v>
      </c>
      <c r="E28" s="1">
        <v>2021</v>
      </c>
      <c r="F28" s="1" t="s">
        <v>14</v>
      </c>
      <c r="G28" s="1" t="s">
        <v>70</v>
      </c>
      <c r="H28" s="1" t="s">
        <v>22</v>
      </c>
    </row>
    <row r="29" spans="1:10">
      <c r="A29" t="s">
        <v>71</v>
      </c>
      <c r="B29" s="1" t="s">
        <v>59</v>
      </c>
      <c r="C29" s="1" t="s">
        <v>25</v>
      </c>
      <c r="D29" s="1" t="s">
        <v>64</v>
      </c>
      <c r="E29" s="1">
        <v>2021</v>
      </c>
      <c r="F29" s="1" t="s">
        <v>14</v>
      </c>
      <c r="G29" s="1" t="s">
        <v>72</v>
      </c>
      <c r="H29" s="1" t="s">
        <v>16</v>
      </c>
      <c r="I29">
        <v>33</v>
      </c>
      <c r="J29">
        <v>8</v>
      </c>
    </row>
    <row r="30" spans="1:10">
      <c r="A30" t="s">
        <v>71</v>
      </c>
      <c r="B30" s="1" t="s">
        <v>59</v>
      </c>
      <c r="C30" s="1" t="s">
        <v>25</v>
      </c>
      <c r="D30" s="1" t="s">
        <v>26</v>
      </c>
      <c r="E30" s="1">
        <v>2016</v>
      </c>
      <c r="F30" s="1" t="s">
        <v>14</v>
      </c>
      <c r="G30" s="1" t="s">
        <v>73</v>
      </c>
      <c r="H30" s="1" t="s">
        <v>16</v>
      </c>
      <c r="I30">
        <v>32</v>
      </c>
      <c r="J30">
        <v>17</v>
      </c>
    </row>
    <row r="31" spans="1:10" hidden="1">
      <c r="A31" t="s">
        <v>74</v>
      </c>
      <c r="B31" s="1" t="s">
        <v>59</v>
      </c>
      <c r="C31" s="1" t="s">
        <v>25</v>
      </c>
      <c r="D31" s="1" t="s">
        <v>37</v>
      </c>
      <c r="E31" s="1">
        <v>2019</v>
      </c>
      <c r="F31" s="1" t="s">
        <v>14</v>
      </c>
      <c r="G31" s="1" t="s">
        <v>75</v>
      </c>
      <c r="H31" s="1" t="s">
        <v>22</v>
      </c>
    </row>
    <row r="32" spans="1:10">
      <c r="A32" t="s">
        <v>71</v>
      </c>
      <c r="B32" s="1" t="s">
        <v>59</v>
      </c>
      <c r="C32" s="1" t="s">
        <v>25</v>
      </c>
      <c r="D32" s="1" t="s">
        <v>30</v>
      </c>
      <c r="E32" s="1">
        <v>2015</v>
      </c>
      <c r="F32" s="1" t="s">
        <v>14</v>
      </c>
      <c r="G32" s="1" t="s">
        <v>76</v>
      </c>
      <c r="H32" s="1" t="s">
        <v>16</v>
      </c>
      <c r="I32">
        <v>33</v>
      </c>
      <c r="J32">
        <v>6</v>
      </c>
    </row>
    <row r="33" spans="1:10">
      <c r="A33" t="s">
        <v>71</v>
      </c>
      <c r="B33" s="1" t="s">
        <v>59</v>
      </c>
      <c r="C33" s="1" t="s">
        <v>25</v>
      </c>
      <c r="D33" s="1" t="s">
        <v>37</v>
      </c>
      <c r="E33" s="1">
        <v>2021</v>
      </c>
      <c r="F33" s="1" t="s">
        <v>14</v>
      </c>
      <c r="G33" s="1" t="s">
        <v>77</v>
      </c>
      <c r="H33" s="1" t="s">
        <v>16</v>
      </c>
      <c r="I33">
        <v>84</v>
      </c>
      <c r="J33">
        <v>6</v>
      </c>
    </row>
    <row r="34" spans="1:10" hidden="1">
      <c r="A34" t="s">
        <v>78</v>
      </c>
      <c r="B34" s="1" t="s">
        <v>59</v>
      </c>
      <c r="C34" s="1" t="s">
        <v>12</v>
      </c>
      <c r="D34" s="1" t="s">
        <v>37</v>
      </c>
      <c r="E34" s="1">
        <v>2021</v>
      </c>
      <c r="F34" s="1" t="s">
        <v>14</v>
      </c>
      <c r="G34" s="1" t="s">
        <v>79</v>
      </c>
      <c r="H34" s="1" t="s">
        <v>22</v>
      </c>
    </row>
    <row r="35" spans="1:10">
      <c r="A35" t="s">
        <v>71</v>
      </c>
      <c r="B35" s="1" t="s">
        <v>80</v>
      </c>
      <c r="C35" s="1" t="s">
        <v>12</v>
      </c>
      <c r="D35" s="1" t="s">
        <v>37</v>
      </c>
      <c r="E35" s="1">
        <v>2021</v>
      </c>
      <c r="F35" s="1" t="s">
        <v>14</v>
      </c>
      <c r="G35" s="1" t="s">
        <v>81</v>
      </c>
      <c r="H35" s="1" t="s">
        <v>16</v>
      </c>
      <c r="I35">
        <v>95</v>
      </c>
      <c r="J35">
        <v>1</v>
      </c>
    </row>
    <row r="36" spans="1:10">
      <c r="A36" t="s">
        <v>78</v>
      </c>
      <c r="B36" s="1" t="s">
        <v>82</v>
      </c>
      <c r="C36" s="1" t="s">
        <v>25</v>
      </c>
      <c r="D36" s="1" t="s">
        <v>26</v>
      </c>
      <c r="E36" s="1">
        <v>2015</v>
      </c>
      <c r="F36" s="1" t="s">
        <v>14</v>
      </c>
      <c r="G36" s="1" t="s">
        <v>83</v>
      </c>
      <c r="H36" s="1" t="s">
        <v>16</v>
      </c>
      <c r="I36">
        <v>30</v>
      </c>
      <c r="J36">
        <v>6</v>
      </c>
    </row>
    <row r="37" spans="1:10" hidden="1">
      <c r="A37" t="s">
        <v>71</v>
      </c>
      <c r="B37" s="1" t="s">
        <v>84</v>
      </c>
      <c r="C37" s="1" t="s">
        <v>12</v>
      </c>
      <c r="D37" s="1" t="s">
        <v>37</v>
      </c>
      <c r="E37" s="1">
        <v>2021</v>
      </c>
      <c r="F37" s="1" t="s">
        <v>14</v>
      </c>
      <c r="G37" s="1" t="s">
        <v>85</v>
      </c>
      <c r="H37" s="1" t="s">
        <v>22</v>
      </c>
    </row>
    <row r="38" spans="1:10">
      <c r="A38" t="s">
        <v>86</v>
      </c>
      <c r="B38" s="1" t="s">
        <v>87</v>
      </c>
      <c r="C38" s="1" t="s">
        <v>25</v>
      </c>
      <c r="D38" s="1" t="s">
        <v>37</v>
      </c>
      <c r="E38" s="1">
        <v>2021</v>
      </c>
      <c r="F38" s="1" t="s">
        <v>14</v>
      </c>
      <c r="G38" s="1" t="s">
        <v>85</v>
      </c>
      <c r="H38" s="1" t="s">
        <v>16</v>
      </c>
      <c r="I38">
        <v>79</v>
      </c>
      <c r="J38">
        <v>1</v>
      </c>
    </row>
    <row r="39" spans="1:10">
      <c r="A39" t="s">
        <v>88</v>
      </c>
      <c r="B39" s="1" t="s">
        <v>89</v>
      </c>
      <c r="C39" s="1" t="s">
        <v>25</v>
      </c>
      <c r="D39" s="1" t="s">
        <v>37</v>
      </c>
      <c r="E39" s="1">
        <v>2021</v>
      </c>
      <c r="F39" s="1" t="s">
        <v>14</v>
      </c>
      <c r="G39" s="1" t="s">
        <v>85</v>
      </c>
      <c r="H39" s="1" t="s">
        <v>16</v>
      </c>
      <c r="I39">
        <v>96</v>
      </c>
      <c r="J39">
        <v>19</v>
      </c>
    </row>
    <row r="40" spans="1:10" hidden="1">
      <c r="A40" t="s">
        <v>90</v>
      </c>
      <c r="B40" s="1" t="s">
        <v>91</v>
      </c>
      <c r="C40" s="1" t="s">
        <v>12</v>
      </c>
      <c r="D40" s="1" t="s">
        <v>37</v>
      </c>
      <c r="E40" s="1">
        <v>2021</v>
      </c>
      <c r="F40" s="1" t="s">
        <v>14</v>
      </c>
      <c r="G40" s="1" t="s">
        <v>85</v>
      </c>
      <c r="H40" s="1" t="s">
        <v>22</v>
      </c>
    </row>
    <row r="41" spans="1:10">
      <c r="A41" t="s">
        <v>92</v>
      </c>
      <c r="B41" s="1" t="s">
        <v>93</v>
      </c>
      <c r="C41" s="1" t="s">
        <v>12</v>
      </c>
      <c r="D41" s="1" t="s">
        <v>37</v>
      </c>
      <c r="E41" s="1">
        <v>2021</v>
      </c>
      <c r="F41" s="1" t="s">
        <v>14</v>
      </c>
      <c r="G41" s="1" t="s">
        <v>94</v>
      </c>
      <c r="H41" s="1" t="s">
        <v>16</v>
      </c>
      <c r="I41">
        <v>94</v>
      </c>
      <c r="J41">
        <v>17</v>
      </c>
    </row>
    <row r="42" spans="1:10">
      <c r="A42" t="s">
        <v>95</v>
      </c>
      <c r="B42" s="1" t="s">
        <v>96</v>
      </c>
      <c r="C42" s="1" t="s">
        <v>12</v>
      </c>
      <c r="D42" s="1" t="s">
        <v>26</v>
      </c>
      <c r="E42" s="1">
        <v>2019</v>
      </c>
      <c r="F42" s="1" t="s">
        <v>14</v>
      </c>
      <c r="G42" s="1" t="s">
        <v>94</v>
      </c>
      <c r="H42" s="1" t="s">
        <v>16</v>
      </c>
      <c r="I42">
        <v>75</v>
      </c>
      <c r="J42">
        <v>14</v>
      </c>
    </row>
    <row r="43" spans="1:10" hidden="1">
      <c r="A43" t="s">
        <v>97</v>
      </c>
      <c r="B43" s="1" t="s">
        <v>98</v>
      </c>
      <c r="C43" s="1" t="s">
        <v>12</v>
      </c>
      <c r="D43" s="1" t="s">
        <v>37</v>
      </c>
      <c r="E43" s="1">
        <v>2021</v>
      </c>
      <c r="F43" s="1" t="s">
        <v>14</v>
      </c>
      <c r="G43" s="1" t="s">
        <v>99</v>
      </c>
      <c r="H43" s="1" t="s">
        <v>22</v>
      </c>
    </row>
    <row r="44" spans="1:10">
      <c r="A44" t="s">
        <v>100</v>
      </c>
      <c r="B44" s="1" t="s">
        <v>101</v>
      </c>
      <c r="C44" s="1" t="s">
        <v>12</v>
      </c>
      <c r="D44" s="1" t="s">
        <v>26</v>
      </c>
      <c r="E44" s="1">
        <v>2020</v>
      </c>
      <c r="F44" s="1" t="s">
        <v>14</v>
      </c>
      <c r="G44" s="1" t="s">
        <v>102</v>
      </c>
      <c r="H44" s="1" t="s">
        <v>16</v>
      </c>
      <c r="I44">
        <v>68</v>
      </c>
      <c r="J44">
        <v>17</v>
      </c>
    </row>
    <row r="45" spans="1:10">
      <c r="A45" t="s">
        <v>103</v>
      </c>
      <c r="B45" s="1" t="s">
        <v>104</v>
      </c>
      <c r="C45" s="1" t="s">
        <v>25</v>
      </c>
      <c r="D45" s="1" t="s">
        <v>37</v>
      </c>
      <c r="E45" s="1">
        <v>2017</v>
      </c>
      <c r="F45" s="1" t="s">
        <v>14</v>
      </c>
      <c r="G45" s="1" t="s">
        <v>94</v>
      </c>
      <c r="H45" s="1" t="s">
        <v>16</v>
      </c>
      <c r="I45">
        <v>66</v>
      </c>
      <c r="J45">
        <v>18</v>
      </c>
    </row>
    <row r="46" spans="1:10" hidden="1">
      <c r="A46" t="s">
        <v>100</v>
      </c>
      <c r="B46" s="1" t="s">
        <v>105</v>
      </c>
      <c r="C46" s="1" t="s">
        <v>25</v>
      </c>
      <c r="D46" s="1" t="s">
        <v>37</v>
      </c>
      <c r="E46" s="1">
        <v>2021</v>
      </c>
      <c r="F46" s="1" t="s">
        <v>14</v>
      </c>
      <c r="G46" s="1" t="s">
        <v>94</v>
      </c>
      <c r="H46" s="1" t="s">
        <v>22</v>
      </c>
    </row>
    <row r="47" spans="1:10">
      <c r="A47" t="s">
        <v>106</v>
      </c>
      <c r="B47" s="1" t="s">
        <v>107</v>
      </c>
      <c r="C47" s="1" t="s">
        <v>25</v>
      </c>
      <c r="D47" s="1" t="s">
        <v>37</v>
      </c>
      <c r="E47" s="1">
        <v>2021</v>
      </c>
      <c r="F47" s="1" t="s">
        <v>14</v>
      </c>
      <c r="G47" s="1" t="s">
        <v>108</v>
      </c>
      <c r="H47" s="1" t="s">
        <v>16</v>
      </c>
      <c r="I47">
        <v>61</v>
      </c>
      <c r="J47">
        <v>17</v>
      </c>
    </row>
    <row r="48" spans="1:10">
      <c r="A48" t="s">
        <v>109</v>
      </c>
      <c r="B48" s="1" t="s">
        <v>110</v>
      </c>
      <c r="C48" s="1" t="s">
        <v>25</v>
      </c>
      <c r="D48" s="1" t="s">
        <v>30</v>
      </c>
      <c r="E48" s="1">
        <v>2021</v>
      </c>
      <c r="F48" s="1" t="s">
        <v>14</v>
      </c>
      <c r="G48" s="1" t="s">
        <v>111</v>
      </c>
      <c r="H48" s="1" t="s">
        <v>16</v>
      </c>
      <c r="I48">
        <v>63</v>
      </c>
      <c r="J48">
        <v>19</v>
      </c>
    </row>
    <row r="49" spans="1:10" hidden="1">
      <c r="A49" t="s">
        <v>112</v>
      </c>
      <c r="B49" s="1" t="s">
        <v>113</v>
      </c>
      <c r="C49" s="1" t="s">
        <v>25</v>
      </c>
      <c r="D49" s="1" t="s">
        <v>26</v>
      </c>
      <c r="E49" s="1">
        <v>2018</v>
      </c>
      <c r="F49" s="1" t="s">
        <v>14</v>
      </c>
      <c r="G49" s="1" t="s">
        <v>111</v>
      </c>
      <c r="H49" s="1" t="s">
        <v>22</v>
      </c>
    </row>
    <row r="50" spans="1:10">
      <c r="A50" t="s">
        <v>114</v>
      </c>
      <c r="B50" s="1" t="s">
        <v>115</v>
      </c>
      <c r="C50" s="1" t="s">
        <v>25</v>
      </c>
      <c r="D50" s="1" t="s">
        <v>26</v>
      </c>
      <c r="E50" s="1">
        <v>2021</v>
      </c>
      <c r="F50" s="1" t="s">
        <v>14</v>
      </c>
      <c r="G50" s="1" t="s">
        <v>111</v>
      </c>
      <c r="H50" s="1" t="s">
        <v>16</v>
      </c>
      <c r="I50">
        <v>56</v>
      </c>
      <c r="J50">
        <v>18</v>
      </c>
    </row>
    <row r="51" spans="1:10">
      <c r="A51" t="s">
        <v>116</v>
      </c>
      <c r="B51" s="1" t="s">
        <v>117</v>
      </c>
      <c r="C51" s="1" t="s">
        <v>25</v>
      </c>
      <c r="D51" s="1" t="s">
        <v>37</v>
      </c>
      <c r="E51" s="1">
        <v>2021</v>
      </c>
      <c r="F51" s="1" t="s">
        <v>14</v>
      </c>
      <c r="G51" s="1" t="s">
        <v>118</v>
      </c>
      <c r="H51" s="1" t="s">
        <v>16</v>
      </c>
      <c r="I51">
        <v>98</v>
      </c>
      <c r="J51">
        <v>7</v>
      </c>
    </row>
    <row r="52" spans="1:10" hidden="1">
      <c r="A52" t="s">
        <v>119</v>
      </c>
      <c r="B52" s="1" t="s">
        <v>117</v>
      </c>
      <c r="C52" s="1" t="s">
        <v>25</v>
      </c>
      <c r="D52" s="1" t="s">
        <v>30</v>
      </c>
      <c r="E52" s="1">
        <v>2018</v>
      </c>
      <c r="F52" s="1" t="s">
        <v>14</v>
      </c>
      <c r="G52" s="1" t="s">
        <v>111</v>
      </c>
      <c r="H52" s="1" t="s">
        <v>22</v>
      </c>
    </row>
    <row r="53" spans="1:10">
      <c r="A53" t="s">
        <v>114</v>
      </c>
      <c r="B53" s="1" t="s">
        <v>120</v>
      </c>
      <c r="C53" s="1" t="s">
        <v>12</v>
      </c>
      <c r="D53" s="1" t="s">
        <v>37</v>
      </c>
      <c r="E53" s="1">
        <v>2021</v>
      </c>
      <c r="F53" s="1" t="s">
        <v>14</v>
      </c>
      <c r="G53" s="1" t="s">
        <v>111</v>
      </c>
      <c r="H53" s="1" t="s">
        <v>16</v>
      </c>
      <c r="I53">
        <v>87</v>
      </c>
      <c r="J53">
        <v>3</v>
      </c>
    </row>
    <row r="54" spans="1:10">
      <c r="A54" t="s">
        <v>119</v>
      </c>
      <c r="B54" s="1" t="s">
        <v>121</v>
      </c>
      <c r="C54" s="1" t="s">
        <v>25</v>
      </c>
      <c r="D54" s="1" t="s">
        <v>37</v>
      </c>
      <c r="E54" s="1">
        <v>2021</v>
      </c>
      <c r="F54" s="1" t="s">
        <v>14</v>
      </c>
      <c r="G54" s="1" t="s">
        <v>111</v>
      </c>
      <c r="H54" s="1" t="s">
        <v>16</v>
      </c>
      <c r="I54">
        <v>44</v>
      </c>
      <c r="J54">
        <v>8</v>
      </c>
    </row>
    <row r="55" spans="1:10" hidden="1">
      <c r="A55" t="s">
        <v>122</v>
      </c>
      <c r="B55" s="1" t="s">
        <v>123</v>
      </c>
      <c r="C55" s="1" t="s">
        <v>12</v>
      </c>
      <c r="D55" s="1" t="s">
        <v>37</v>
      </c>
      <c r="E55" s="1">
        <v>2021</v>
      </c>
      <c r="F55" s="1" t="s">
        <v>14</v>
      </c>
      <c r="G55" s="1" t="s">
        <v>111</v>
      </c>
      <c r="H55" s="1" t="s">
        <v>22</v>
      </c>
    </row>
    <row r="56" spans="1:10">
      <c r="A56" t="s">
        <v>124</v>
      </c>
      <c r="B56" s="1" t="s">
        <v>125</v>
      </c>
      <c r="C56" s="1" t="s">
        <v>12</v>
      </c>
      <c r="D56" s="1" t="s">
        <v>37</v>
      </c>
      <c r="E56" s="1">
        <v>2017</v>
      </c>
      <c r="F56" s="1" t="s">
        <v>14</v>
      </c>
      <c r="G56" s="1" t="s">
        <v>111</v>
      </c>
      <c r="H56" s="1" t="s">
        <v>16</v>
      </c>
      <c r="I56">
        <v>65</v>
      </c>
      <c r="J56">
        <v>9</v>
      </c>
    </row>
    <row r="57" spans="1:10">
      <c r="A57" t="s">
        <v>126</v>
      </c>
      <c r="B57" s="1" t="s">
        <v>127</v>
      </c>
      <c r="C57" s="1" t="s">
        <v>12</v>
      </c>
      <c r="D57" s="1" t="s">
        <v>37</v>
      </c>
      <c r="E57" s="1">
        <v>2021</v>
      </c>
      <c r="F57" s="1" t="s">
        <v>14</v>
      </c>
      <c r="G57" s="1" t="s">
        <v>128</v>
      </c>
      <c r="H57" s="1" t="s">
        <v>16</v>
      </c>
      <c r="I57">
        <v>86</v>
      </c>
      <c r="J57">
        <v>5</v>
      </c>
    </row>
    <row r="58" spans="1:10" hidden="1">
      <c r="A58" t="s">
        <v>129</v>
      </c>
      <c r="B58" s="1" t="s">
        <v>130</v>
      </c>
      <c r="C58" s="1" t="s">
        <v>25</v>
      </c>
      <c r="D58" s="1" t="s">
        <v>37</v>
      </c>
      <c r="E58" s="1">
        <v>2021</v>
      </c>
      <c r="F58" s="1" t="s">
        <v>14</v>
      </c>
      <c r="G58" s="1" t="s">
        <v>128</v>
      </c>
      <c r="H58" s="1" t="s">
        <v>22</v>
      </c>
    </row>
    <row r="59" spans="1:10">
      <c r="A59" t="s">
        <v>131</v>
      </c>
      <c r="B59" s="1" t="s">
        <v>132</v>
      </c>
      <c r="C59" s="1" t="s">
        <v>25</v>
      </c>
      <c r="D59" s="1" t="s">
        <v>37</v>
      </c>
      <c r="E59" s="1">
        <v>2016</v>
      </c>
      <c r="F59" s="1" t="s">
        <v>14</v>
      </c>
      <c r="G59" s="1" t="s">
        <v>128</v>
      </c>
      <c r="H59" s="1" t="s">
        <v>16</v>
      </c>
      <c r="I59">
        <v>61</v>
      </c>
      <c r="J59">
        <v>15</v>
      </c>
    </row>
    <row r="60" spans="1:10">
      <c r="A60" t="s">
        <v>133</v>
      </c>
      <c r="B60" s="1" t="s">
        <v>134</v>
      </c>
      <c r="C60" s="1" t="s">
        <v>25</v>
      </c>
      <c r="D60" s="1" t="s">
        <v>37</v>
      </c>
      <c r="E60" s="1">
        <v>2021</v>
      </c>
      <c r="F60" s="1" t="s">
        <v>14</v>
      </c>
      <c r="G60" s="1" t="s">
        <v>135</v>
      </c>
      <c r="H60" s="1" t="s">
        <v>16</v>
      </c>
      <c r="I60">
        <v>27</v>
      </c>
      <c r="J60">
        <v>18</v>
      </c>
    </row>
    <row r="61" spans="1:10" hidden="1">
      <c r="A61" t="s">
        <v>136</v>
      </c>
      <c r="B61" s="1" t="s">
        <v>137</v>
      </c>
      <c r="C61" s="1" t="s">
        <v>12</v>
      </c>
      <c r="D61" s="1" t="s">
        <v>37</v>
      </c>
      <c r="E61" s="1">
        <v>2021</v>
      </c>
      <c r="F61" s="1" t="s">
        <v>14</v>
      </c>
      <c r="G61" s="1" t="s">
        <v>128</v>
      </c>
      <c r="H61" s="1" t="s">
        <v>22</v>
      </c>
    </row>
    <row r="62" spans="1:10">
      <c r="A62" t="s">
        <v>138</v>
      </c>
      <c r="B62" s="1" t="s">
        <v>137</v>
      </c>
      <c r="C62" s="1" t="s">
        <v>25</v>
      </c>
      <c r="D62" s="1" t="s">
        <v>37</v>
      </c>
      <c r="E62" s="1">
        <v>2021</v>
      </c>
      <c r="F62" s="1" t="s">
        <v>14</v>
      </c>
      <c r="G62" s="1" t="s">
        <v>128</v>
      </c>
      <c r="H62" s="1" t="s">
        <v>16</v>
      </c>
      <c r="I62">
        <v>40</v>
      </c>
      <c r="J62">
        <v>9</v>
      </c>
    </row>
    <row r="63" spans="1:10">
      <c r="A63" t="s">
        <v>139</v>
      </c>
      <c r="B63" s="1" t="s">
        <v>140</v>
      </c>
      <c r="C63" s="1" t="s">
        <v>12</v>
      </c>
      <c r="D63" s="1" t="s">
        <v>37</v>
      </c>
      <c r="E63" s="1">
        <v>2021</v>
      </c>
      <c r="F63" s="1" t="s">
        <v>14</v>
      </c>
      <c r="G63" s="1" t="s">
        <v>141</v>
      </c>
      <c r="H63" s="1" t="s">
        <v>16</v>
      </c>
      <c r="I63">
        <v>52</v>
      </c>
      <c r="J63">
        <v>10</v>
      </c>
    </row>
    <row r="64" spans="1:10" hidden="1">
      <c r="A64" t="s">
        <v>142</v>
      </c>
      <c r="B64" s="1" t="s">
        <v>143</v>
      </c>
      <c r="C64" s="1" t="s">
        <v>25</v>
      </c>
      <c r="D64" s="1" t="s">
        <v>30</v>
      </c>
      <c r="E64" s="1">
        <v>2018</v>
      </c>
      <c r="F64" s="1" t="s">
        <v>14</v>
      </c>
      <c r="G64" s="1" t="s">
        <v>144</v>
      </c>
      <c r="H64" s="1" t="s">
        <v>22</v>
      </c>
    </row>
    <row r="65" spans="1:10">
      <c r="A65" t="s">
        <v>145</v>
      </c>
      <c r="B65" s="1" t="s">
        <v>146</v>
      </c>
      <c r="C65" s="1" t="s">
        <v>12</v>
      </c>
      <c r="D65" s="1" t="s">
        <v>37</v>
      </c>
      <c r="E65" s="1">
        <v>2018</v>
      </c>
      <c r="F65" s="1" t="s">
        <v>14</v>
      </c>
      <c r="G65" s="1" t="s">
        <v>144</v>
      </c>
      <c r="H65" s="1" t="s">
        <v>16</v>
      </c>
      <c r="I65">
        <v>41</v>
      </c>
      <c r="J65">
        <v>12</v>
      </c>
    </row>
    <row r="66" spans="1:10">
      <c r="A66" t="s">
        <v>147</v>
      </c>
      <c r="B66" s="1" t="s">
        <v>148</v>
      </c>
      <c r="C66" s="1" t="s">
        <v>12</v>
      </c>
      <c r="D66" s="1" t="s">
        <v>37</v>
      </c>
      <c r="E66" s="1">
        <v>2018</v>
      </c>
      <c r="F66" s="1" t="s">
        <v>14</v>
      </c>
      <c r="G66" s="1" t="s">
        <v>144</v>
      </c>
      <c r="H66" s="1" t="s">
        <v>16</v>
      </c>
      <c r="I66">
        <v>65</v>
      </c>
      <c r="J66">
        <v>2</v>
      </c>
    </row>
    <row r="67" spans="1:10" hidden="1">
      <c r="A67" t="s">
        <v>149</v>
      </c>
      <c r="B67" s="1" t="s">
        <v>150</v>
      </c>
      <c r="C67" s="1" t="s">
        <v>25</v>
      </c>
      <c r="D67" s="1" t="s">
        <v>37</v>
      </c>
      <c r="E67" s="1">
        <v>2020</v>
      </c>
      <c r="F67" s="1" t="s">
        <v>14</v>
      </c>
      <c r="G67" s="1" t="s">
        <v>144</v>
      </c>
      <c r="H67" s="1" t="s">
        <v>22</v>
      </c>
    </row>
    <row r="68" spans="1:10">
      <c r="A68" t="s">
        <v>151</v>
      </c>
      <c r="B68" s="1" t="s">
        <v>152</v>
      </c>
      <c r="C68" s="1" t="s">
        <v>12</v>
      </c>
      <c r="D68" s="1" t="s">
        <v>37</v>
      </c>
      <c r="E68" s="1">
        <v>2021</v>
      </c>
      <c r="F68" s="1" t="s">
        <v>14</v>
      </c>
      <c r="G68" s="1" t="s">
        <v>144</v>
      </c>
      <c r="H68" s="1" t="s">
        <v>16</v>
      </c>
      <c r="I68">
        <v>95</v>
      </c>
      <c r="J68">
        <v>2</v>
      </c>
    </row>
    <row r="69" spans="1:10">
      <c r="A69" t="s">
        <v>153</v>
      </c>
      <c r="B69" s="1" t="s">
        <v>154</v>
      </c>
      <c r="C69" s="1" t="s">
        <v>12</v>
      </c>
      <c r="D69" s="1" t="s">
        <v>37</v>
      </c>
      <c r="E69" s="1">
        <v>2018</v>
      </c>
      <c r="F69" s="1" t="s">
        <v>14</v>
      </c>
      <c r="G69" s="1" t="s">
        <v>155</v>
      </c>
      <c r="H69" s="1" t="s">
        <v>16</v>
      </c>
      <c r="I69">
        <v>29</v>
      </c>
      <c r="J69">
        <v>8</v>
      </c>
    </row>
    <row r="70" spans="1:10" hidden="1">
      <c r="A70" t="s">
        <v>156</v>
      </c>
      <c r="B70" s="1" t="s">
        <v>157</v>
      </c>
      <c r="C70" s="1" t="s">
        <v>12</v>
      </c>
      <c r="D70" s="1" t="s">
        <v>37</v>
      </c>
      <c r="E70" s="1">
        <v>2021</v>
      </c>
      <c r="F70" s="1" t="s">
        <v>53</v>
      </c>
      <c r="G70" s="1" t="s">
        <v>155</v>
      </c>
      <c r="H70" s="1" t="s">
        <v>22</v>
      </c>
    </row>
    <row r="71" spans="1:10">
      <c r="A71" t="s">
        <v>158</v>
      </c>
      <c r="B71" s="1" t="s">
        <v>157</v>
      </c>
      <c r="C71" s="1" t="s">
        <v>12</v>
      </c>
      <c r="D71" s="1" t="s">
        <v>37</v>
      </c>
      <c r="E71" s="1">
        <v>2021</v>
      </c>
      <c r="F71" s="1" t="s">
        <v>53</v>
      </c>
      <c r="G71" s="1" t="s">
        <v>155</v>
      </c>
      <c r="H71" s="1" t="s">
        <v>16</v>
      </c>
      <c r="I71">
        <v>87</v>
      </c>
      <c r="J71">
        <v>3</v>
      </c>
    </row>
    <row r="72" spans="1:10">
      <c r="A72" t="s">
        <v>159</v>
      </c>
      <c r="B72" s="1" t="s">
        <v>157</v>
      </c>
      <c r="C72" s="1" t="s">
        <v>12</v>
      </c>
      <c r="D72" s="1" t="s">
        <v>37</v>
      </c>
      <c r="E72" s="1">
        <v>2021</v>
      </c>
      <c r="F72" s="1" t="s">
        <v>14</v>
      </c>
      <c r="G72" s="1" t="s">
        <v>155</v>
      </c>
      <c r="H72" s="1" t="s">
        <v>16</v>
      </c>
      <c r="I72">
        <v>44</v>
      </c>
      <c r="J72">
        <v>15</v>
      </c>
    </row>
    <row r="73" spans="1:10" hidden="1">
      <c r="A73" t="s">
        <v>160</v>
      </c>
      <c r="B73" s="1" t="s">
        <v>157</v>
      </c>
      <c r="C73" s="1" t="s">
        <v>12</v>
      </c>
      <c r="D73" s="1" t="s">
        <v>37</v>
      </c>
      <c r="E73" s="1">
        <v>2016</v>
      </c>
      <c r="F73" s="1" t="s">
        <v>14</v>
      </c>
      <c r="G73" s="1" t="s">
        <v>155</v>
      </c>
      <c r="H73" s="1" t="s">
        <v>22</v>
      </c>
    </row>
    <row r="74" spans="1:10">
      <c r="A74" t="s">
        <v>161</v>
      </c>
      <c r="B74" s="1" t="s">
        <v>157</v>
      </c>
      <c r="C74" s="1" t="s">
        <v>12</v>
      </c>
      <c r="D74" s="1" t="s">
        <v>37</v>
      </c>
      <c r="E74" s="1">
        <v>2021</v>
      </c>
      <c r="F74" s="1" t="s">
        <v>14</v>
      </c>
      <c r="G74" s="1" t="s">
        <v>162</v>
      </c>
      <c r="H74" s="1" t="s">
        <v>16</v>
      </c>
      <c r="I74">
        <v>75</v>
      </c>
      <c r="J74">
        <v>12</v>
      </c>
    </row>
    <row r="75" spans="1:10">
      <c r="A75" t="s">
        <v>163</v>
      </c>
      <c r="B75" s="1" t="s">
        <v>157</v>
      </c>
      <c r="C75" s="1" t="s">
        <v>25</v>
      </c>
      <c r="D75" s="1" t="s">
        <v>37</v>
      </c>
      <c r="E75" s="1">
        <v>2016</v>
      </c>
      <c r="F75" s="1" t="s">
        <v>14</v>
      </c>
      <c r="G75" s="1" t="s">
        <v>164</v>
      </c>
      <c r="H75" s="1" t="s">
        <v>16</v>
      </c>
      <c r="I75">
        <v>40</v>
      </c>
      <c r="J75">
        <v>12</v>
      </c>
    </row>
    <row r="76" spans="1:10" hidden="1">
      <c r="A76" t="s">
        <v>165</v>
      </c>
      <c r="B76" s="1" t="s">
        <v>157</v>
      </c>
      <c r="C76" s="1" t="s">
        <v>12</v>
      </c>
      <c r="D76" s="1" t="s">
        <v>37</v>
      </c>
      <c r="E76" s="1">
        <v>2021</v>
      </c>
      <c r="F76" s="1" t="s">
        <v>14</v>
      </c>
      <c r="G76" s="1" t="s">
        <v>166</v>
      </c>
      <c r="H76" s="1" t="s">
        <v>22</v>
      </c>
    </row>
    <row r="77" spans="1:10">
      <c r="A77" t="s">
        <v>167</v>
      </c>
      <c r="B77" s="1" t="s">
        <v>157</v>
      </c>
      <c r="C77" s="1" t="s">
        <v>25</v>
      </c>
      <c r="D77" s="1" t="s">
        <v>64</v>
      </c>
      <c r="E77" s="1">
        <v>2020</v>
      </c>
      <c r="F77" s="1" t="s">
        <v>14</v>
      </c>
      <c r="G77" s="1" t="s">
        <v>168</v>
      </c>
      <c r="H77" s="1" t="s">
        <v>16</v>
      </c>
      <c r="I77">
        <v>39</v>
      </c>
      <c r="J77">
        <v>16</v>
      </c>
    </row>
    <row r="78" spans="1:10">
      <c r="A78" t="s">
        <v>169</v>
      </c>
      <c r="B78" s="1" t="s">
        <v>170</v>
      </c>
      <c r="C78" s="1" t="s">
        <v>25</v>
      </c>
      <c r="D78" s="1" t="s">
        <v>64</v>
      </c>
      <c r="E78" s="1">
        <v>2018</v>
      </c>
      <c r="F78" s="1" t="s">
        <v>14</v>
      </c>
      <c r="G78" s="1" t="s">
        <v>171</v>
      </c>
      <c r="H78" s="1" t="s">
        <v>16</v>
      </c>
      <c r="I78">
        <v>70</v>
      </c>
      <c r="J78">
        <v>16</v>
      </c>
    </row>
    <row r="79" spans="1:10" hidden="1">
      <c r="A79" t="s">
        <v>172</v>
      </c>
      <c r="B79" s="1" t="s">
        <v>173</v>
      </c>
      <c r="C79" s="1" t="s">
        <v>25</v>
      </c>
      <c r="D79" s="1" t="s">
        <v>37</v>
      </c>
      <c r="E79" s="1">
        <v>2019</v>
      </c>
      <c r="F79" s="1" t="s">
        <v>14</v>
      </c>
      <c r="G79" s="1" t="s">
        <v>174</v>
      </c>
      <c r="H79" s="1" t="s">
        <v>22</v>
      </c>
    </row>
    <row r="80" spans="1:10">
      <c r="A80" t="s">
        <v>175</v>
      </c>
      <c r="B80" s="1" t="s">
        <v>176</v>
      </c>
      <c r="C80" s="1" t="s">
        <v>25</v>
      </c>
      <c r="D80" s="1" t="s">
        <v>37</v>
      </c>
      <c r="E80" s="1">
        <v>2021</v>
      </c>
      <c r="F80" s="1" t="s">
        <v>14</v>
      </c>
      <c r="G80" s="1" t="s">
        <v>177</v>
      </c>
      <c r="H80" s="1" t="s">
        <v>16</v>
      </c>
      <c r="I80">
        <v>81</v>
      </c>
      <c r="J80">
        <v>19</v>
      </c>
    </row>
    <row r="81" spans="1:10">
      <c r="A81" t="s">
        <v>178</v>
      </c>
      <c r="B81" s="1" t="s">
        <v>179</v>
      </c>
      <c r="C81" s="1" t="s">
        <v>12</v>
      </c>
      <c r="D81" s="1" t="s">
        <v>37</v>
      </c>
      <c r="E81" s="1">
        <v>2021</v>
      </c>
      <c r="F81" s="1" t="s">
        <v>14</v>
      </c>
      <c r="G81" s="1" t="s">
        <v>180</v>
      </c>
      <c r="H81" s="1" t="s">
        <v>16</v>
      </c>
      <c r="I81">
        <v>77</v>
      </c>
      <c r="J81">
        <v>14</v>
      </c>
    </row>
    <row r="82" spans="1:10" hidden="1">
      <c r="A82" t="s">
        <v>181</v>
      </c>
      <c r="B82" s="1" t="s">
        <v>182</v>
      </c>
      <c r="C82" s="1" t="s">
        <v>12</v>
      </c>
      <c r="D82" s="1" t="s">
        <v>37</v>
      </c>
      <c r="E82" s="1">
        <v>2021</v>
      </c>
      <c r="F82" s="1" t="s">
        <v>14</v>
      </c>
      <c r="G82" s="1" t="s">
        <v>183</v>
      </c>
      <c r="H82" s="1" t="s">
        <v>22</v>
      </c>
    </row>
    <row r="83" spans="1:10">
      <c r="A83" t="s">
        <v>184</v>
      </c>
      <c r="B83" s="1" t="s">
        <v>185</v>
      </c>
      <c r="C83" s="1" t="s">
        <v>25</v>
      </c>
      <c r="D83" s="1" t="s">
        <v>26</v>
      </c>
      <c r="E83" s="1">
        <v>2020</v>
      </c>
      <c r="F83" s="1" t="s">
        <v>14</v>
      </c>
      <c r="G83" s="1" t="s">
        <v>186</v>
      </c>
      <c r="H83" s="1" t="s">
        <v>16</v>
      </c>
      <c r="I83">
        <v>67</v>
      </c>
      <c r="J83">
        <v>3</v>
      </c>
    </row>
    <row r="84" spans="1:10">
      <c r="A84" t="s">
        <v>187</v>
      </c>
      <c r="B84" s="1" t="s">
        <v>185</v>
      </c>
      <c r="C84" s="1" t="s">
        <v>25</v>
      </c>
      <c r="D84" s="1" t="s">
        <v>30</v>
      </c>
      <c r="E84" s="1">
        <v>2016</v>
      </c>
      <c r="F84" s="1" t="s">
        <v>14</v>
      </c>
      <c r="G84" s="1" t="s">
        <v>186</v>
      </c>
      <c r="H84" s="1" t="s">
        <v>16</v>
      </c>
      <c r="I84">
        <v>70</v>
      </c>
      <c r="J84">
        <v>9</v>
      </c>
    </row>
    <row r="85" spans="1:10" hidden="1">
      <c r="A85" t="s">
        <v>188</v>
      </c>
      <c r="B85" s="1" t="s">
        <v>189</v>
      </c>
      <c r="C85" s="1" t="s">
        <v>25</v>
      </c>
      <c r="D85" s="1" t="s">
        <v>26</v>
      </c>
      <c r="E85" s="1">
        <v>2016</v>
      </c>
      <c r="F85" s="1" t="s">
        <v>14</v>
      </c>
      <c r="G85" s="1" t="s">
        <v>186</v>
      </c>
      <c r="H85" s="1" t="s">
        <v>22</v>
      </c>
    </row>
    <row r="86" spans="1:10">
      <c r="A86" t="s">
        <v>187</v>
      </c>
      <c r="B86" s="1" t="s">
        <v>190</v>
      </c>
      <c r="C86" s="1" t="s">
        <v>12</v>
      </c>
      <c r="D86" s="1" t="s">
        <v>37</v>
      </c>
      <c r="E86" s="1">
        <v>2021</v>
      </c>
      <c r="F86" s="1" t="s">
        <v>14</v>
      </c>
      <c r="G86" s="1" t="s">
        <v>186</v>
      </c>
      <c r="H86" s="1" t="s">
        <v>16</v>
      </c>
      <c r="I86">
        <v>98</v>
      </c>
      <c r="J86">
        <v>18</v>
      </c>
    </row>
    <row r="87" spans="1:10">
      <c r="A87" t="s">
        <v>191</v>
      </c>
      <c r="B87" s="1" t="s">
        <v>190</v>
      </c>
      <c r="C87" s="1" t="s">
        <v>25</v>
      </c>
      <c r="D87" s="1" t="s">
        <v>26</v>
      </c>
      <c r="E87" s="1">
        <v>2019</v>
      </c>
      <c r="F87" s="1" t="s">
        <v>14</v>
      </c>
      <c r="G87" s="1" t="s">
        <v>192</v>
      </c>
      <c r="H87" s="1" t="s">
        <v>16</v>
      </c>
      <c r="I87">
        <v>84</v>
      </c>
      <c r="J87">
        <v>8</v>
      </c>
    </row>
    <row r="88" spans="1:10" hidden="1">
      <c r="A88" t="s">
        <v>193</v>
      </c>
      <c r="B88" s="1" t="s">
        <v>190</v>
      </c>
      <c r="C88" s="1" t="s">
        <v>25</v>
      </c>
      <c r="D88" s="1" t="s">
        <v>37</v>
      </c>
      <c r="E88" s="1">
        <v>2020</v>
      </c>
      <c r="F88" s="1" t="s">
        <v>14</v>
      </c>
      <c r="G88" s="1" t="s">
        <v>194</v>
      </c>
      <c r="H88" s="1" t="s">
        <v>22</v>
      </c>
    </row>
    <row r="89" spans="1:10">
      <c r="A89" t="s">
        <v>195</v>
      </c>
      <c r="B89" s="1" t="s">
        <v>190</v>
      </c>
      <c r="C89" s="1" t="s">
        <v>25</v>
      </c>
      <c r="D89" s="1" t="s">
        <v>37</v>
      </c>
      <c r="E89" s="1">
        <v>2020</v>
      </c>
      <c r="F89" s="1" t="s">
        <v>14</v>
      </c>
      <c r="G89" s="1" t="s">
        <v>194</v>
      </c>
      <c r="H89" s="1" t="s">
        <v>16</v>
      </c>
      <c r="I89">
        <v>55</v>
      </c>
      <c r="J89">
        <v>1</v>
      </c>
    </row>
    <row r="90" spans="1:10">
      <c r="A90" t="s">
        <v>196</v>
      </c>
      <c r="B90" s="1" t="s">
        <v>190</v>
      </c>
      <c r="C90" s="1" t="s">
        <v>12</v>
      </c>
      <c r="D90" s="1" t="s">
        <v>37</v>
      </c>
      <c r="E90" s="1">
        <v>2021</v>
      </c>
      <c r="F90" s="1" t="s">
        <v>14</v>
      </c>
      <c r="G90" s="1" t="s">
        <v>194</v>
      </c>
      <c r="H90" s="1" t="s">
        <v>16</v>
      </c>
      <c r="I90">
        <v>57</v>
      </c>
      <c r="J90">
        <v>5</v>
      </c>
    </row>
    <row r="91" spans="1:10" hidden="1">
      <c r="A91" t="s">
        <v>197</v>
      </c>
      <c r="B91" s="1" t="s">
        <v>198</v>
      </c>
      <c r="C91" s="1" t="s">
        <v>25</v>
      </c>
      <c r="D91" s="1" t="s">
        <v>37</v>
      </c>
      <c r="E91" s="1">
        <v>2018</v>
      </c>
      <c r="F91" s="1" t="s">
        <v>14</v>
      </c>
      <c r="G91" s="1" t="s">
        <v>194</v>
      </c>
      <c r="H91" s="1" t="s">
        <v>22</v>
      </c>
    </row>
    <row r="92" spans="1:10">
      <c r="A92" t="s">
        <v>199</v>
      </c>
      <c r="B92" s="1" t="s">
        <v>200</v>
      </c>
      <c r="C92" s="1" t="s">
        <v>12</v>
      </c>
      <c r="D92" s="1" t="s">
        <v>37</v>
      </c>
      <c r="E92" s="1">
        <v>2021</v>
      </c>
      <c r="F92" s="1" t="s">
        <v>14</v>
      </c>
      <c r="G92" s="1" t="s">
        <v>194</v>
      </c>
      <c r="H92" s="1" t="s">
        <v>16</v>
      </c>
      <c r="I92">
        <v>51</v>
      </c>
      <c r="J92">
        <v>16</v>
      </c>
    </row>
    <row r="93" spans="1:10">
      <c r="A93" t="s">
        <v>201</v>
      </c>
      <c r="B93" s="1" t="s">
        <v>202</v>
      </c>
      <c r="C93" s="1" t="s">
        <v>12</v>
      </c>
      <c r="D93" s="1" t="s">
        <v>37</v>
      </c>
      <c r="E93" s="1">
        <v>2021</v>
      </c>
      <c r="F93" s="1" t="s">
        <v>14</v>
      </c>
      <c r="G93" s="1" t="s">
        <v>203</v>
      </c>
      <c r="H93" s="1" t="s">
        <v>16</v>
      </c>
      <c r="I93">
        <v>47</v>
      </c>
      <c r="J93">
        <v>2</v>
      </c>
    </row>
    <row r="94" spans="1:10" hidden="1">
      <c r="A94" t="s">
        <v>204</v>
      </c>
      <c r="B94" s="1" t="s">
        <v>205</v>
      </c>
      <c r="C94" s="1" t="s">
        <v>25</v>
      </c>
      <c r="D94" s="1" t="s">
        <v>37</v>
      </c>
      <c r="E94" s="1">
        <v>2019</v>
      </c>
      <c r="F94" s="1" t="s">
        <v>14</v>
      </c>
      <c r="G94" s="1" t="s">
        <v>206</v>
      </c>
      <c r="H94" s="1" t="s">
        <v>22</v>
      </c>
    </row>
    <row r="95" spans="1:10">
      <c r="A95" t="s">
        <v>207</v>
      </c>
      <c r="B95" s="1" t="s">
        <v>208</v>
      </c>
      <c r="C95" s="1" t="s">
        <v>25</v>
      </c>
      <c r="D95" s="1" t="s">
        <v>64</v>
      </c>
      <c r="E95" s="1">
        <v>2020</v>
      </c>
      <c r="F95" s="1" t="s">
        <v>14</v>
      </c>
      <c r="G95" s="1" t="s">
        <v>206</v>
      </c>
      <c r="H95" s="1" t="s">
        <v>16</v>
      </c>
      <c r="I95">
        <v>25</v>
      </c>
      <c r="J95">
        <v>20</v>
      </c>
    </row>
    <row r="96" spans="1:10">
      <c r="A96" t="s">
        <v>209</v>
      </c>
      <c r="B96" s="1" t="s">
        <v>210</v>
      </c>
      <c r="C96" s="1" t="s">
        <v>12</v>
      </c>
      <c r="D96" s="1" t="s">
        <v>37</v>
      </c>
      <c r="E96" s="1">
        <v>2021</v>
      </c>
      <c r="F96" s="1" t="s">
        <v>14</v>
      </c>
      <c r="G96" s="1" t="s">
        <v>206</v>
      </c>
      <c r="H96" s="1" t="s">
        <v>16</v>
      </c>
      <c r="I96">
        <v>38</v>
      </c>
      <c r="J96">
        <v>3</v>
      </c>
    </row>
    <row r="97" spans="1:10" hidden="1">
      <c r="A97" t="s">
        <v>209</v>
      </c>
      <c r="B97" s="1" t="s">
        <v>211</v>
      </c>
      <c r="C97" s="1" t="s">
        <v>12</v>
      </c>
      <c r="D97" s="1" t="s">
        <v>37</v>
      </c>
      <c r="E97" s="1">
        <v>2020</v>
      </c>
      <c r="F97" s="1" t="s">
        <v>14</v>
      </c>
      <c r="G97" s="1" t="s">
        <v>206</v>
      </c>
      <c r="H97" s="1" t="s">
        <v>22</v>
      </c>
    </row>
    <row r="98" spans="1:10">
      <c r="A98" t="s">
        <v>212</v>
      </c>
      <c r="B98" s="1" t="s">
        <v>213</v>
      </c>
      <c r="C98" s="1" t="s">
        <v>25</v>
      </c>
      <c r="D98" s="1" t="s">
        <v>64</v>
      </c>
      <c r="E98" s="1">
        <v>2018</v>
      </c>
      <c r="F98" s="1" t="s">
        <v>14</v>
      </c>
      <c r="G98" s="1" t="s">
        <v>214</v>
      </c>
      <c r="H98" s="1" t="s">
        <v>16</v>
      </c>
      <c r="I98">
        <v>81</v>
      </c>
      <c r="J98">
        <v>3</v>
      </c>
    </row>
    <row r="99" spans="1:10">
      <c r="A99" t="s">
        <v>215</v>
      </c>
      <c r="B99" s="1" t="s">
        <v>213</v>
      </c>
      <c r="C99" s="1" t="s">
        <v>25</v>
      </c>
      <c r="D99" s="1" t="s">
        <v>37</v>
      </c>
      <c r="E99" s="1">
        <v>2020</v>
      </c>
      <c r="F99" s="1" t="s">
        <v>14</v>
      </c>
      <c r="G99" s="1" t="s">
        <v>214</v>
      </c>
      <c r="H99" s="1" t="s">
        <v>16</v>
      </c>
      <c r="I99">
        <v>30</v>
      </c>
      <c r="J99">
        <v>1</v>
      </c>
    </row>
    <row r="100" spans="1:10" hidden="1">
      <c r="A100" t="s">
        <v>212</v>
      </c>
      <c r="B100" s="1" t="s">
        <v>216</v>
      </c>
      <c r="C100" s="1" t="s">
        <v>25</v>
      </c>
      <c r="D100" s="1" t="s">
        <v>37</v>
      </c>
      <c r="E100" s="1">
        <v>2019</v>
      </c>
      <c r="F100" s="1" t="s">
        <v>14</v>
      </c>
      <c r="G100" s="1" t="s">
        <v>214</v>
      </c>
      <c r="H100" s="1" t="s">
        <v>22</v>
      </c>
    </row>
    <row r="101" spans="1:10">
      <c r="A101" t="s">
        <v>217</v>
      </c>
      <c r="B101" s="1" t="s">
        <v>216</v>
      </c>
      <c r="C101" s="1" t="s">
        <v>25</v>
      </c>
      <c r="D101" s="1" t="s">
        <v>64</v>
      </c>
      <c r="E101" s="1">
        <v>2019</v>
      </c>
      <c r="F101" s="1" t="s">
        <v>14</v>
      </c>
      <c r="G101" s="1" t="s">
        <v>214</v>
      </c>
      <c r="H101" s="1" t="s">
        <v>16</v>
      </c>
      <c r="I101">
        <v>27</v>
      </c>
      <c r="J101">
        <v>11</v>
      </c>
    </row>
    <row r="102" spans="1:10">
      <c r="A102" t="s">
        <v>217</v>
      </c>
      <c r="B102" s="1" t="s">
        <v>216</v>
      </c>
      <c r="C102" s="1" t="s">
        <v>12</v>
      </c>
      <c r="D102" s="1" t="s">
        <v>30</v>
      </c>
      <c r="E102" s="1">
        <v>2021</v>
      </c>
      <c r="F102" s="1" t="s">
        <v>14</v>
      </c>
      <c r="G102" s="1" t="s">
        <v>214</v>
      </c>
      <c r="H102" s="1" t="s">
        <v>16</v>
      </c>
      <c r="I102">
        <v>69</v>
      </c>
      <c r="J102">
        <v>6</v>
      </c>
    </row>
    <row r="103" spans="1:10" hidden="1">
      <c r="A103" t="s">
        <v>218</v>
      </c>
      <c r="B103" s="1" t="s">
        <v>216</v>
      </c>
      <c r="C103" s="1" t="s">
        <v>12</v>
      </c>
      <c r="D103" s="1" t="s">
        <v>37</v>
      </c>
      <c r="E103" s="1">
        <v>2019</v>
      </c>
      <c r="F103" s="1" t="s">
        <v>14</v>
      </c>
      <c r="G103" s="1" t="s">
        <v>219</v>
      </c>
      <c r="H103" s="1" t="s">
        <v>22</v>
      </c>
    </row>
    <row r="104" spans="1:10">
      <c r="A104" t="s">
        <v>220</v>
      </c>
      <c r="B104" s="1" t="s">
        <v>216</v>
      </c>
      <c r="C104" s="1" t="s">
        <v>25</v>
      </c>
      <c r="D104" s="1" t="s">
        <v>37</v>
      </c>
      <c r="E104" s="1">
        <v>2021</v>
      </c>
      <c r="F104" s="1" t="s">
        <v>14</v>
      </c>
      <c r="G104" s="1" t="s">
        <v>221</v>
      </c>
      <c r="H104" s="1" t="s">
        <v>16</v>
      </c>
      <c r="I104">
        <v>65</v>
      </c>
      <c r="J104">
        <v>9</v>
      </c>
    </row>
    <row r="105" spans="1:10">
      <c r="A105" t="s">
        <v>222</v>
      </c>
      <c r="B105" s="1" t="s">
        <v>216</v>
      </c>
      <c r="C105" s="1" t="s">
        <v>25</v>
      </c>
      <c r="D105" s="1" t="s">
        <v>64</v>
      </c>
      <c r="E105" s="1">
        <v>2015</v>
      </c>
      <c r="F105" s="1" t="s">
        <v>14</v>
      </c>
      <c r="G105" s="1" t="s">
        <v>223</v>
      </c>
      <c r="H105" s="1" t="s">
        <v>16</v>
      </c>
      <c r="I105">
        <v>88</v>
      </c>
      <c r="J105">
        <v>2</v>
      </c>
    </row>
    <row r="106" spans="1:10" hidden="1">
      <c r="A106" t="s">
        <v>222</v>
      </c>
      <c r="B106" s="1" t="s">
        <v>216</v>
      </c>
      <c r="C106" s="1" t="s">
        <v>25</v>
      </c>
      <c r="D106" s="1" t="s">
        <v>64</v>
      </c>
      <c r="E106" s="1">
        <v>2021</v>
      </c>
      <c r="F106" s="1" t="s">
        <v>14</v>
      </c>
      <c r="G106" s="1" t="s">
        <v>224</v>
      </c>
      <c r="H106" s="1" t="s">
        <v>22</v>
      </c>
    </row>
    <row r="107" spans="1:10">
      <c r="A107" t="s">
        <v>225</v>
      </c>
      <c r="B107" s="1" t="s">
        <v>216</v>
      </c>
      <c r="C107" s="1" t="s">
        <v>12</v>
      </c>
      <c r="D107" s="1" t="s">
        <v>37</v>
      </c>
      <c r="E107" s="1">
        <v>2021</v>
      </c>
      <c r="F107" s="1" t="s">
        <v>14</v>
      </c>
      <c r="G107" s="1" t="s">
        <v>223</v>
      </c>
      <c r="H107" s="1" t="s">
        <v>16</v>
      </c>
      <c r="I107">
        <v>94</v>
      </c>
      <c r="J107">
        <v>8</v>
      </c>
    </row>
    <row r="108" spans="1:10">
      <c r="A108" t="s">
        <v>226</v>
      </c>
      <c r="B108" s="1" t="s">
        <v>216</v>
      </c>
      <c r="C108" s="1" t="s">
        <v>12</v>
      </c>
      <c r="D108" s="1" t="s">
        <v>37</v>
      </c>
      <c r="E108" s="1">
        <v>2021</v>
      </c>
      <c r="F108" s="1" t="s">
        <v>14</v>
      </c>
      <c r="G108" s="1" t="s">
        <v>223</v>
      </c>
      <c r="H108" s="1" t="s">
        <v>16</v>
      </c>
      <c r="I108">
        <v>75</v>
      </c>
      <c r="J108">
        <v>7</v>
      </c>
    </row>
    <row r="109" spans="1:10" hidden="1">
      <c r="A109" t="s">
        <v>227</v>
      </c>
      <c r="B109" s="1" t="s">
        <v>216</v>
      </c>
      <c r="C109" s="1" t="s">
        <v>25</v>
      </c>
      <c r="D109" s="1" t="s">
        <v>26</v>
      </c>
      <c r="E109" s="1">
        <v>2021</v>
      </c>
      <c r="F109" s="1" t="s">
        <v>14</v>
      </c>
      <c r="G109" s="1" t="s">
        <v>223</v>
      </c>
      <c r="H109" s="1" t="s">
        <v>22</v>
      </c>
    </row>
    <row r="110" spans="1:10">
      <c r="A110" t="s">
        <v>227</v>
      </c>
      <c r="B110" s="1" t="s">
        <v>216</v>
      </c>
      <c r="C110" s="1" t="s">
        <v>25</v>
      </c>
      <c r="D110" s="1" t="s">
        <v>30</v>
      </c>
      <c r="E110" s="1">
        <v>2019</v>
      </c>
      <c r="F110" s="1" t="s">
        <v>14</v>
      </c>
      <c r="G110" s="1" t="s">
        <v>223</v>
      </c>
      <c r="H110" s="1" t="s">
        <v>16</v>
      </c>
      <c r="I110">
        <v>37</v>
      </c>
      <c r="J110">
        <v>16</v>
      </c>
    </row>
    <row r="111" spans="1:10">
      <c r="A111" t="s">
        <v>228</v>
      </c>
      <c r="B111" s="1" t="s">
        <v>216</v>
      </c>
      <c r="C111" s="1" t="s">
        <v>12</v>
      </c>
      <c r="D111" s="1" t="s">
        <v>37</v>
      </c>
      <c r="E111" s="1">
        <v>2019</v>
      </c>
      <c r="F111" s="1" t="s">
        <v>14</v>
      </c>
      <c r="G111" s="1" t="s">
        <v>223</v>
      </c>
      <c r="H111" s="1" t="s">
        <v>16</v>
      </c>
      <c r="I111">
        <v>34</v>
      </c>
      <c r="J111">
        <v>18</v>
      </c>
    </row>
    <row r="112" spans="1:10" hidden="1">
      <c r="A112" t="s">
        <v>229</v>
      </c>
      <c r="B112" s="1" t="s">
        <v>216</v>
      </c>
      <c r="C112" s="1" t="s">
        <v>25</v>
      </c>
      <c r="D112" s="1" t="s">
        <v>30</v>
      </c>
      <c r="E112" s="1">
        <v>2019</v>
      </c>
      <c r="F112" s="1" t="s">
        <v>14</v>
      </c>
      <c r="G112" s="1" t="s">
        <v>223</v>
      </c>
      <c r="H112" s="1" t="s">
        <v>22</v>
      </c>
    </row>
    <row r="113" spans="1:10">
      <c r="A113" t="s">
        <v>230</v>
      </c>
      <c r="B113" s="1" t="s">
        <v>216</v>
      </c>
      <c r="C113" s="1" t="s">
        <v>25</v>
      </c>
      <c r="D113" s="1" t="s">
        <v>37</v>
      </c>
      <c r="E113" s="1">
        <v>2015</v>
      </c>
      <c r="F113" s="1" t="s">
        <v>14</v>
      </c>
      <c r="G113" s="1" t="s">
        <v>223</v>
      </c>
      <c r="H113" s="1" t="s">
        <v>16</v>
      </c>
      <c r="I113">
        <v>76</v>
      </c>
      <c r="J113">
        <v>16</v>
      </c>
    </row>
    <row r="114" spans="1:10">
      <c r="A114" t="s">
        <v>231</v>
      </c>
      <c r="B114" s="1" t="s">
        <v>216</v>
      </c>
      <c r="C114" s="1" t="s">
        <v>25</v>
      </c>
      <c r="D114" s="1" t="s">
        <v>64</v>
      </c>
      <c r="E114" s="1">
        <v>2018</v>
      </c>
      <c r="F114" s="1" t="s">
        <v>14</v>
      </c>
      <c r="G114" s="1" t="s">
        <v>223</v>
      </c>
      <c r="H114" s="1" t="s">
        <v>16</v>
      </c>
      <c r="I114">
        <v>99</v>
      </c>
      <c r="J114">
        <v>14</v>
      </c>
    </row>
    <row r="115" spans="1:10" hidden="1">
      <c r="A115" t="s">
        <v>232</v>
      </c>
      <c r="B115" s="1" t="s">
        <v>216</v>
      </c>
      <c r="C115" s="1" t="s">
        <v>12</v>
      </c>
      <c r="D115" s="1" t="s">
        <v>30</v>
      </c>
      <c r="E115" s="1">
        <v>2015</v>
      </c>
      <c r="F115" s="1" t="s">
        <v>14</v>
      </c>
      <c r="G115" s="1" t="s">
        <v>223</v>
      </c>
      <c r="H115" s="1" t="s">
        <v>22</v>
      </c>
    </row>
    <row r="116" spans="1:10">
      <c r="A116" t="s">
        <v>233</v>
      </c>
      <c r="B116" s="1" t="s">
        <v>234</v>
      </c>
      <c r="C116" s="1" t="s">
        <v>25</v>
      </c>
      <c r="D116" s="1" t="s">
        <v>37</v>
      </c>
      <c r="E116" s="1">
        <v>2021</v>
      </c>
      <c r="F116" s="1" t="s">
        <v>14</v>
      </c>
      <c r="G116" s="1" t="s">
        <v>223</v>
      </c>
      <c r="H116" s="1" t="s">
        <v>16</v>
      </c>
      <c r="I116">
        <v>20</v>
      </c>
      <c r="J116">
        <v>15</v>
      </c>
    </row>
    <row r="117" spans="1:10">
      <c r="A117" t="s">
        <v>235</v>
      </c>
      <c r="B117" s="1" t="s">
        <v>234</v>
      </c>
      <c r="C117" s="1" t="s">
        <v>25</v>
      </c>
      <c r="D117" s="1" t="s">
        <v>64</v>
      </c>
      <c r="E117" s="1">
        <v>2016</v>
      </c>
      <c r="F117" s="1" t="s">
        <v>14</v>
      </c>
      <c r="G117" s="1" t="s">
        <v>236</v>
      </c>
      <c r="H117" s="1" t="s">
        <v>16</v>
      </c>
      <c r="I117">
        <v>73</v>
      </c>
      <c r="J117">
        <v>15</v>
      </c>
    </row>
    <row r="118" spans="1:10" hidden="1">
      <c r="A118" t="s">
        <v>237</v>
      </c>
      <c r="B118" s="1" t="s">
        <v>234</v>
      </c>
      <c r="C118" s="1" t="s">
        <v>25</v>
      </c>
      <c r="D118" s="1" t="s">
        <v>37</v>
      </c>
      <c r="E118" s="1">
        <v>2020</v>
      </c>
      <c r="F118" s="1" t="s">
        <v>14</v>
      </c>
      <c r="G118" s="1" t="s">
        <v>223</v>
      </c>
      <c r="H118" s="1" t="s">
        <v>22</v>
      </c>
    </row>
    <row r="119" spans="1:10">
      <c r="A119" t="s">
        <v>238</v>
      </c>
      <c r="B119" s="1" t="s">
        <v>234</v>
      </c>
      <c r="C119" s="1" t="s">
        <v>25</v>
      </c>
      <c r="D119" s="1" t="s">
        <v>37</v>
      </c>
      <c r="E119" s="1">
        <v>2021</v>
      </c>
      <c r="F119" s="1" t="s">
        <v>14</v>
      </c>
      <c r="G119" s="1" t="s">
        <v>15</v>
      </c>
      <c r="H119" s="1" t="s">
        <v>16</v>
      </c>
      <c r="I119">
        <v>40</v>
      </c>
      <c r="J119">
        <v>12</v>
      </c>
    </row>
    <row r="120" spans="1:10">
      <c r="A120" t="s">
        <v>239</v>
      </c>
      <c r="B120" s="1" t="s">
        <v>234</v>
      </c>
      <c r="C120" s="1" t="s">
        <v>25</v>
      </c>
      <c r="D120" s="1" t="s">
        <v>37</v>
      </c>
      <c r="E120" s="1">
        <v>2021</v>
      </c>
      <c r="F120" s="1" t="s">
        <v>14</v>
      </c>
      <c r="G120" s="1" t="s">
        <v>15</v>
      </c>
      <c r="H120" s="1" t="s">
        <v>16</v>
      </c>
      <c r="I120">
        <v>48</v>
      </c>
      <c r="J120">
        <v>2</v>
      </c>
    </row>
    <row r="121" spans="1:10" hidden="1">
      <c r="A121" t="s">
        <v>240</v>
      </c>
      <c r="B121" s="1" t="s">
        <v>234</v>
      </c>
      <c r="C121" s="1" t="s">
        <v>25</v>
      </c>
      <c r="D121" s="1" t="s">
        <v>37</v>
      </c>
      <c r="E121" s="1">
        <v>2018</v>
      </c>
      <c r="F121" s="1" t="s">
        <v>241</v>
      </c>
      <c r="G121" s="1" t="s">
        <v>15</v>
      </c>
      <c r="H121" s="1" t="s">
        <v>22</v>
      </c>
    </row>
    <row r="122" spans="1:10">
      <c r="A122" t="s">
        <v>242</v>
      </c>
      <c r="B122" s="1" t="s">
        <v>243</v>
      </c>
      <c r="C122" s="1" t="s">
        <v>25</v>
      </c>
      <c r="D122" s="1" t="s">
        <v>26</v>
      </c>
      <c r="E122" s="1">
        <v>2020</v>
      </c>
      <c r="F122" s="1" t="s">
        <v>53</v>
      </c>
      <c r="G122" s="1" t="s">
        <v>15</v>
      </c>
      <c r="H122" s="1" t="s">
        <v>16</v>
      </c>
      <c r="I122">
        <v>70</v>
      </c>
      <c r="J122">
        <v>5</v>
      </c>
    </row>
    <row r="123" spans="1:10">
      <c r="A123" t="s">
        <v>244</v>
      </c>
      <c r="B123" s="1" t="s">
        <v>243</v>
      </c>
      <c r="C123" s="1" t="s">
        <v>25</v>
      </c>
      <c r="D123" s="1" t="s">
        <v>30</v>
      </c>
      <c r="E123" s="1">
        <v>2015</v>
      </c>
      <c r="G123" s="1" t="s">
        <v>15</v>
      </c>
      <c r="H123" s="1" t="s">
        <v>16</v>
      </c>
      <c r="I123">
        <v>69</v>
      </c>
      <c r="J123">
        <v>7</v>
      </c>
    </row>
    <row r="124" spans="1:10" hidden="1">
      <c r="A124" t="s">
        <v>244</v>
      </c>
      <c r="B124" s="1" t="s">
        <v>243</v>
      </c>
      <c r="C124" s="1" t="s">
        <v>25</v>
      </c>
      <c r="D124" s="1" t="s">
        <v>37</v>
      </c>
      <c r="E124" s="1">
        <v>2018</v>
      </c>
      <c r="F124" s="1" t="s">
        <v>14</v>
      </c>
      <c r="G124" s="1" t="s">
        <v>15</v>
      </c>
      <c r="H124" s="1" t="s">
        <v>22</v>
      </c>
    </row>
    <row r="125" spans="1:10">
      <c r="A125" t="s">
        <v>245</v>
      </c>
      <c r="B125" s="1" t="s">
        <v>243</v>
      </c>
      <c r="C125" s="1" t="s">
        <v>25</v>
      </c>
      <c r="D125" s="1" t="s">
        <v>30</v>
      </c>
      <c r="E125" s="1">
        <v>2021</v>
      </c>
      <c r="F125" s="1" t="s">
        <v>14</v>
      </c>
      <c r="G125" s="1" t="s">
        <v>15</v>
      </c>
      <c r="H125" s="1" t="s">
        <v>16</v>
      </c>
      <c r="I125">
        <v>37</v>
      </c>
      <c r="J125">
        <v>15</v>
      </c>
    </row>
    <row r="126" spans="1:10">
      <c r="A126" t="s">
        <v>244</v>
      </c>
      <c r="B126" s="1" t="s">
        <v>243</v>
      </c>
      <c r="C126" s="1" t="s">
        <v>12</v>
      </c>
      <c r="D126" s="1" t="s">
        <v>37</v>
      </c>
      <c r="E126" s="1">
        <v>2021</v>
      </c>
      <c r="F126" s="1" t="s">
        <v>14</v>
      </c>
      <c r="G126" s="1" t="s">
        <v>15</v>
      </c>
      <c r="H126" s="1" t="s">
        <v>16</v>
      </c>
      <c r="I126">
        <v>91</v>
      </c>
      <c r="J126">
        <v>4</v>
      </c>
    </row>
    <row r="127" spans="1:10" hidden="1">
      <c r="A127" t="s">
        <v>246</v>
      </c>
      <c r="B127" s="1" t="s">
        <v>247</v>
      </c>
      <c r="C127" s="1" t="s">
        <v>25</v>
      </c>
      <c r="D127" s="1" t="s">
        <v>26</v>
      </c>
      <c r="E127" s="1">
        <v>2020</v>
      </c>
      <c r="F127" s="1" t="s">
        <v>14</v>
      </c>
      <c r="G127" s="1" t="s">
        <v>15</v>
      </c>
      <c r="H127" s="1" t="s">
        <v>22</v>
      </c>
    </row>
    <row r="128" spans="1:10">
      <c r="A128" t="s">
        <v>248</v>
      </c>
      <c r="B128" s="1" t="s">
        <v>249</v>
      </c>
      <c r="C128" s="1" t="s">
        <v>12</v>
      </c>
      <c r="D128" s="1" t="s">
        <v>37</v>
      </c>
      <c r="E128" s="1">
        <v>2021</v>
      </c>
      <c r="F128" s="1" t="s">
        <v>14</v>
      </c>
      <c r="G128" s="1" t="s">
        <v>15</v>
      </c>
      <c r="H128" s="1" t="s">
        <v>16</v>
      </c>
      <c r="I128">
        <v>29</v>
      </c>
      <c r="J128">
        <v>1</v>
      </c>
    </row>
    <row r="129" spans="1:10">
      <c r="A129" t="s">
        <v>250</v>
      </c>
      <c r="B129" s="1" t="s">
        <v>251</v>
      </c>
      <c r="C129" s="1" t="s">
        <v>25</v>
      </c>
      <c r="D129" s="1" t="s">
        <v>37</v>
      </c>
      <c r="E129" s="1">
        <v>2021</v>
      </c>
      <c r="F129" s="1" t="s">
        <v>14</v>
      </c>
      <c r="G129" s="1" t="s">
        <v>15</v>
      </c>
      <c r="H129" s="1" t="s">
        <v>16</v>
      </c>
      <c r="I129">
        <v>46</v>
      </c>
      <c r="J129">
        <v>18</v>
      </c>
    </row>
    <row r="130" spans="1:10" hidden="1">
      <c r="A130" t="s">
        <v>252</v>
      </c>
      <c r="B130" s="1" t="s">
        <v>253</v>
      </c>
      <c r="C130" s="1" t="s">
        <v>25</v>
      </c>
      <c r="D130" s="1" t="s">
        <v>37</v>
      </c>
      <c r="E130" s="1">
        <v>2017</v>
      </c>
      <c r="F130" s="1" t="s">
        <v>241</v>
      </c>
      <c r="G130" s="1" t="s">
        <v>15</v>
      </c>
      <c r="H130" s="1" t="s">
        <v>22</v>
      </c>
    </row>
    <row r="131" spans="1:10">
      <c r="A131" t="s">
        <v>254</v>
      </c>
      <c r="B131" s="1" t="s">
        <v>255</v>
      </c>
      <c r="C131" s="1" t="s">
        <v>12</v>
      </c>
      <c r="D131" s="1" t="s">
        <v>37</v>
      </c>
      <c r="E131" s="1">
        <v>2021</v>
      </c>
      <c r="F131" s="1" t="s">
        <v>14</v>
      </c>
      <c r="G131" s="1" t="s">
        <v>15</v>
      </c>
      <c r="H131" s="1" t="s">
        <v>16</v>
      </c>
      <c r="I131">
        <v>58</v>
      </c>
      <c r="J131">
        <v>5</v>
      </c>
    </row>
    <row r="132" spans="1:10">
      <c r="A132" t="s">
        <v>256</v>
      </c>
      <c r="B132" s="1" t="s">
        <v>257</v>
      </c>
      <c r="C132" s="1" t="s">
        <v>25</v>
      </c>
      <c r="D132" s="1" t="s">
        <v>64</v>
      </c>
      <c r="E132" s="1">
        <v>2019</v>
      </c>
      <c r="F132" s="1" t="s">
        <v>14</v>
      </c>
      <c r="G132" s="1" t="s">
        <v>15</v>
      </c>
      <c r="H132" s="1" t="s">
        <v>16</v>
      </c>
      <c r="I132">
        <v>91</v>
      </c>
      <c r="J132">
        <v>1</v>
      </c>
    </row>
    <row r="133" spans="1:10" hidden="1">
      <c r="A133" t="s">
        <v>256</v>
      </c>
      <c r="B133" s="1" t="s">
        <v>258</v>
      </c>
      <c r="C133" s="1" t="s">
        <v>12</v>
      </c>
      <c r="D133" s="1" t="s">
        <v>37</v>
      </c>
      <c r="E133" s="1">
        <v>2021</v>
      </c>
      <c r="F133" s="1" t="s">
        <v>14</v>
      </c>
      <c r="G133" s="1" t="s">
        <v>15</v>
      </c>
      <c r="H133" s="1" t="s">
        <v>22</v>
      </c>
    </row>
    <row r="134" spans="1:10">
      <c r="A134" t="s">
        <v>256</v>
      </c>
      <c r="B134" s="1" t="s">
        <v>259</v>
      </c>
      <c r="C134" s="1" t="s">
        <v>12</v>
      </c>
      <c r="D134" s="1" t="s">
        <v>37</v>
      </c>
      <c r="E134" s="1">
        <v>2021</v>
      </c>
      <c r="F134" s="1" t="s">
        <v>14</v>
      </c>
      <c r="G134" s="1" t="s">
        <v>15</v>
      </c>
      <c r="H134" s="1" t="s">
        <v>16</v>
      </c>
      <c r="I134">
        <v>51</v>
      </c>
      <c r="J134">
        <v>7</v>
      </c>
    </row>
    <row r="135" spans="1:10">
      <c r="A135" t="s">
        <v>260</v>
      </c>
      <c r="B135" s="1" t="s">
        <v>259</v>
      </c>
      <c r="C135" s="1" t="s">
        <v>12</v>
      </c>
      <c r="D135" s="1" t="s">
        <v>37</v>
      </c>
      <c r="E135" s="1">
        <v>2021</v>
      </c>
      <c r="F135" s="1" t="s">
        <v>53</v>
      </c>
      <c r="G135" s="1" t="s">
        <v>15</v>
      </c>
      <c r="H135" s="1" t="s">
        <v>16</v>
      </c>
      <c r="I135">
        <v>86</v>
      </c>
      <c r="J135">
        <v>4</v>
      </c>
    </row>
    <row r="136" spans="1:10" hidden="1">
      <c r="A136" t="s">
        <v>260</v>
      </c>
      <c r="B136" s="1" t="s">
        <v>261</v>
      </c>
      <c r="C136" s="1" t="s">
        <v>25</v>
      </c>
      <c r="D136" s="1" t="s">
        <v>37</v>
      </c>
      <c r="E136" s="1">
        <v>2020</v>
      </c>
      <c r="F136" s="1" t="s">
        <v>14</v>
      </c>
      <c r="G136" s="1" t="s">
        <v>15</v>
      </c>
      <c r="H136" s="1" t="s">
        <v>22</v>
      </c>
    </row>
    <row r="137" spans="1:10">
      <c r="A137" t="s">
        <v>260</v>
      </c>
      <c r="B137" s="1" t="s">
        <v>261</v>
      </c>
      <c r="C137" s="1" t="s">
        <v>12</v>
      </c>
      <c r="D137" s="1" t="s">
        <v>37</v>
      </c>
      <c r="E137" s="1">
        <v>2021</v>
      </c>
      <c r="F137" s="1" t="s">
        <v>14</v>
      </c>
      <c r="G137" s="1" t="s">
        <v>15</v>
      </c>
      <c r="H137" s="1" t="s">
        <v>16</v>
      </c>
      <c r="I137">
        <v>50</v>
      </c>
      <c r="J137">
        <v>8</v>
      </c>
    </row>
    <row r="138" spans="1:10">
      <c r="A138" t="s">
        <v>262</v>
      </c>
      <c r="B138" s="1" t="s">
        <v>261</v>
      </c>
      <c r="C138" s="1" t="s">
        <v>12</v>
      </c>
      <c r="D138" s="1" t="s">
        <v>30</v>
      </c>
      <c r="E138" s="1">
        <v>2019</v>
      </c>
      <c r="F138" s="1" t="s">
        <v>14</v>
      </c>
      <c r="G138" s="1" t="s">
        <v>15</v>
      </c>
      <c r="H138" s="1" t="s">
        <v>16</v>
      </c>
      <c r="I138">
        <v>94</v>
      </c>
      <c r="J138">
        <v>18</v>
      </c>
    </row>
    <row r="139" spans="1:10" hidden="1">
      <c r="A139" t="s">
        <v>263</v>
      </c>
      <c r="B139" s="1" t="s">
        <v>264</v>
      </c>
      <c r="C139" s="1" t="s">
        <v>25</v>
      </c>
      <c r="D139" s="1" t="s">
        <v>64</v>
      </c>
      <c r="E139" s="1">
        <v>2020</v>
      </c>
      <c r="F139" s="1" t="s">
        <v>14</v>
      </c>
      <c r="G139" s="1" t="s">
        <v>15</v>
      </c>
      <c r="H139" s="1" t="s">
        <v>22</v>
      </c>
    </row>
    <row r="140" spans="1:10">
      <c r="A140" t="s">
        <v>265</v>
      </c>
      <c r="B140" s="1" t="s">
        <v>266</v>
      </c>
      <c r="C140" s="1" t="s">
        <v>12</v>
      </c>
      <c r="D140" s="1" t="s">
        <v>37</v>
      </c>
      <c r="E140" s="1">
        <v>2021</v>
      </c>
      <c r="F140" s="1" t="s">
        <v>14</v>
      </c>
      <c r="G140" s="1" t="s">
        <v>15</v>
      </c>
      <c r="H140" s="1" t="s">
        <v>16</v>
      </c>
      <c r="I140">
        <v>77</v>
      </c>
      <c r="J140">
        <v>17</v>
      </c>
    </row>
    <row r="141" spans="1:10">
      <c r="A141" t="s">
        <v>267</v>
      </c>
      <c r="B141" s="1" t="s">
        <v>268</v>
      </c>
      <c r="C141" s="1" t="s">
        <v>12</v>
      </c>
      <c r="D141" s="1" t="s">
        <v>37</v>
      </c>
      <c r="E141" s="1">
        <v>2021</v>
      </c>
      <c r="F141" s="1" t="s">
        <v>14</v>
      </c>
      <c r="G141" s="1" t="s">
        <v>15</v>
      </c>
      <c r="H141" s="1" t="s">
        <v>16</v>
      </c>
      <c r="I141">
        <v>37</v>
      </c>
      <c r="J141">
        <v>10</v>
      </c>
    </row>
    <row r="142" spans="1:10" hidden="1">
      <c r="A142" t="s">
        <v>269</v>
      </c>
      <c r="B142" s="1" t="s">
        <v>268</v>
      </c>
      <c r="C142" s="1" t="s">
        <v>25</v>
      </c>
      <c r="D142" s="1" t="s">
        <v>30</v>
      </c>
      <c r="E142" s="1">
        <v>2021</v>
      </c>
      <c r="F142" s="1" t="s">
        <v>53</v>
      </c>
      <c r="G142" s="1" t="s">
        <v>15</v>
      </c>
      <c r="H142" s="1" t="s">
        <v>22</v>
      </c>
    </row>
    <row r="143" spans="1:10">
      <c r="A143" t="s">
        <v>270</v>
      </c>
      <c r="B143" s="1" t="s">
        <v>268</v>
      </c>
      <c r="C143" s="1" t="s">
        <v>25</v>
      </c>
      <c r="D143" s="1" t="s">
        <v>30</v>
      </c>
      <c r="E143" s="1">
        <v>2019</v>
      </c>
      <c r="F143" s="1" t="s">
        <v>14</v>
      </c>
      <c r="G143" s="1" t="s">
        <v>15</v>
      </c>
      <c r="H143" s="1" t="s">
        <v>16</v>
      </c>
      <c r="I143">
        <v>76</v>
      </c>
      <c r="J143">
        <v>12</v>
      </c>
    </row>
    <row r="144" spans="1:10">
      <c r="A144" t="s">
        <v>271</v>
      </c>
      <c r="B144" s="1" t="s">
        <v>272</v>
      </c>
      <c r="C144" s="1" t="s">
        <v>25</v>
      </c>
      <c r="D144" s="1" t="s">
        <v>37</v>
      </c>
      <c r="E144" s="1">
        <v>2015</v>
      </c>
      <c r="F144" s="1" t="s">
        <v>14</v>
      </c>
      <c r="G144" s="2" t="s">
        <v>15</v>
      </c>
      <c r="H144" s="1" t="s">
        <v>16</v>
      </c>
      <c r="I144">
        <v>56</v>
      </c>
      <c r="J144">
        <v>12</v>
      </c>
    </row>
    <row r="145" spans="1:10" hidden="1">
      <c r="A145" t="s">
        <v>273</v>
      </c>
      <c r="B145" s="1" t="s">
        <v>272</v>
      </c>
      <c r="C145" s="1" t="s">
        <v>25</v>
      </c>
      <c r="D145" s="1" t="s">
        <v>26</v>
      </c>
      <c r="E145" s="1">
        <v>2016</v>
      </c>
      <c r="F145" s="1" t="s">
        <v>14</v>
      </c>
      <c r="G145" s="1" t="s">
        <v>15</v>
      </c>
      <c r="H145" s="1" t="s">
        <v>22</v>
      </c>
    </row>
    <row r="146" spans="1:10">
      <c r="A146" t="s">
        <v>274</v>
      </c>
      <c r="B146" s="1" t="s">
        <v>272</v>
      </c>
      <c r="C146" s="1" t="s">
        <v>25</v>
      </c>
      <c r="D146" s="1" t="s">
        <v>37</v>
      </c>
      <c r="E146" s="1">
        <v>2018</v>
      </c>
      <c r="F146" s="1" t="s">
        <v>14</v>
      </c>
      <c r="G146" s="1" t="s">
        <v>15</v>
      </c>
      <c r="H146" s="1" t="s">
        <v>16</v>
      </c>
      <c r="I146">
        <v>45</v>
      </c>
      <c r="J146">
        <v>3</v>
      </c>
    </row>
    <row r="147" spans="1:10">
      <c r="A147" t="s">
        <v>273</v>
      </c>
      <c r="B147" s="1" t="s">
        <v>275</v>
      </c>
      <c r="C147" s="1" t="s">
        <v>12</v>
      </c>
      <c r="D147" s="1" t="s">
        <v>37</v>
      </c>
      <c r="E147" s="1">
        <v>2021</v>
      </c>
      <c r="F147" s="1" t="s">
        <v>14</v>
      </c>
      <c r="G147" s="1" t="s">
        <v>15</v>
      </c>
      <c r="H147" s="1" t="s">
        <v>16</v>
      </c>
      <c r="I147">
        <v>37</v>
      </c>
      <c r="J147">
        <v>17</v>
      </c>
    </row>
    <row r="148" spans="1:10" hidden="1">
      <c r="A148" t="s">
        <v>273</v>
      </c>
      <c r="B148" s="1" t="s">
        <v>276</v>
      </c>
      <c r="C148" s="1" t="s">
        <v>25</v>
      </c>
      <c r="D148" s="1" t="s">
        <v>26</v>
      </c>
      <c r="E148" s="1">
        <v>2020</v>
      </c>
      <c r="F148" s="1" t="s">
        <v>14</v>
      </c>
      <c r="G148" s="1" t="s">
        <v>15</v>
      </c>
      <c r="H148" s="1" t="s">
        <v>22</v>
      </c>
    </row>
    <row r="149" spans="1:10">
      <c r="A149" t="s">
        <v>277</v>
      </c>
      <c r="B149" s="1" t="s">
        <v>278</v>
      </c>
      <c r="C149" s="1" t="s">
        <v>25</v>
      </c>
      <c r="D149" s="1" t="s">
        <v>26</v>
      </c>
      <c r="E149" s="1">
        <v>2019</v>
      </c>
      <c r="F149" s="1" t="s">
        <v>14</v>
      </c>
      <c r="G149" s="1" t="s">
        <v>15</v>
      </c>
      <c r="H149" s="1" t="s">
        <v>16</v>
      </c>
      <c r="I149">
        <v>79</v>
      </c>
      <c r="J149">
        <v>18</v>
      </c>
    </row>
    <row r="150" spans="1:10">
      <c r="A150" t="s">
        <v>279</v>
      </c>
      <c r="B150" s="1" t="s">
        <v>280</v>
      </c>
      <c r="C150" s="1" t="s">
        <v>12</v>
      </c>
      <c r="D150" s="1" t="s">
        <v>26</v>
      </c>
      <c r="E150" s="1">
        <v>2015</v>
      </c>
      <c r="F150" s="1" t="s">
        <v>14</v>
      </c>
      <c r="G150" s="1" t="s">
        <v>15</v>
      </c>
      <c r="H150" s="1" t="s">
        <v>16</v>
      </c>
      <c r="I150">
        <v>67</v>
      </c>
      <c r="J150">
        <v>8</v>
      </c>
    </row>
    <row r="151" spans="1:10" hidden="1">
      <c r="A151" t="s">
        <v>281</v>
      </c>
      <c r="B151" s="1" t="s">
        <v>282</v>
      </c>
      <c r="C151" s="1" t="s">
        <v>25</v>
      </c>
      <c r="D151" s="1" t="s">
        <v>37</v>
      </c>
      <c r="E151" s="1">
        <v>2021</v>
      </c>
      <c r="F151" s="1" t="s">
        <v>14</v>
      </c>
      <c r="G151" s="1" t="s">
        <v>15</v>
      </c>
      <c r="H151" s="1" t="s">
        <v>22</v>
      </c>
    </row>
    <row r="152" spans="1:10">
      <c r="A152" t="s">
        <v>283</v>
      </c>
      <c r="B152" s="1" t="s">
        <v>282</v>
      </c>
      <c r="C152" s="1" t="s">
        <v>25</v>
      </c>
      <c r="D152" s="1" t="s">
        <v>64</v>
      </c>
      <c r="E152" s="1">
        <v>2020</v>
      </c>
      <c r="F152" s="1" t="s">
        <v>14</v>
      </c>
      <c r="G152" s="1" t="s">
        <v>15</v>
      </c>
      <c r="H152" s="1" t="s">
        <v>16</v>
      </c>
      <c r="I152">
        <v>83</v>
      </c>
      <c r="J152">
        <v>11</v>
      </c>
    </row>
    <row r="153" spans="1:10">
      <c r="A153" t="s">
        <v>284</v>
      </c>
      <c r="B153" s="1" t="s">
        <v>285</v>
      </c>
      <c r="C153" s="1" t="s">
        <v>25</v>
      </c>
      <c r="D153" s="1" t="s">
        <v>37</v>
      </c>
      <c r="E153" s="1">
        <v>2017</v>
      </c>
      <c r="F153" s="1" t="s">
        <v>14</v>
      </c>
      <c r="G153" s="1" t="s">
        <v>15</v>
      </c>
      <c r="H153" s="1" t="s">
        <v>16</v>
      </c>
      <c r="I153">
        <v>79</v>
      </c>
      <c r="J153">
        <v>10</v>
      </c>
    </row>
    <row r="154" spans="1:10" hidden="1">
      <c r="A154" t="s">
        <v>286</v>
      </c>
      <c r="B154" s="1" t="s">
        <v>285</v>
      </c>
      <c r="C154" s="1" t="s">
        <v>12</v>
      </c>
      <c r="D154" s="1" t="s">
        <v>37</v>
      </c>
      <c r="E154" s="1">
        <v>2021</v>
      </c>
      <c r="F154" s="1" t="s">
        <v>14</v>
      </c>
      <c r="G154" s="1" t="s">
        <v>15</v>
      </c>
      <c r="H154" s="1" t="s">
        <v>22</v>
      </c>
    </row>
    <row r="155" spans="1:10">
      <c r="A155" t="s">
        <v>287</v>
      </c>
      <c r="B155" s="1" t="s">
        <v>288</v>
      </c>
      <c r="C155" s="1" t="s">
        <v>12</v>
      </c>
      <c r="D155" s="1" t="s">
        <v>37</v>
      </c>
      <c r="E155" s="1">
        <v>2021</v>
      </c>
      <c r="F155" s="1" t="s">
        <v>14</v>
      </c>
      <c r="G155" s="1" t="s">
        <v>15</v>
      </c>
      <c r="H155" s="1" t="s">
        <v>16</v>
      </c>
      <c r="I155">
        <v>52</v>
      </c>
      <c r="J155">
        <v>5</v>
      </c>
    </row>
    <row r="156" spans="1:10">
      <c r="A156" t="s">
        <v>289</v>
      </c>
      <c r="B156" s="1" t="s">
        <v>290</v>
      </c>
      <c r="C156" s="1" t="s">
        <v>25</v>
      </c>
      <c r="D156" s="1" t="s">
        <v>37</v>
      </c>
      <c r="E156" s="1">
        <v>2018</v>
      </c>
      <c r="F156" s="1" t="s">
        <v>14</v>
      </c>
      <c r="G156" s="2" t="s">
        <v>15</v>
      </c>
      <c r="H156" s="1" t="s">
        <v>16</v>
      </c>
      <c r="I156">
        <v>73</v>
      </c>
      <c r="J156">
        <v>7</v>
      </c>
    </row>
    <row r="157" spans="1:10" hidden="1">
      <c r="A157" t="s">
        <v>291</v>
      </c>
      <c r="B157" s="1" t="s">
        <v>290</v>
      </c>
      <c r="C157" s="1" t="s">
        <v>25</v>
      </c>
      <c r="D157" s="1" t="s">
        <v>37</v>
      </c>
      <c r="E157" s="1">
        <v>2017</v>
      </c>
      <c r="F157" s="1" t="s">
        <v>14</v>
      </c>
      <c r="G157" s="1" t="s">
        <v>15</v>
      </c>
      <c r="H157" s="1" t="s">
        <v>22</v>
      </c>
    </row>
    <row r="158" spans="1:10">
      <c r="A158" t="s">
        <v>289</v>
      </c>
      <c r="B158" s="1" t="s">
        <v>290</v>
      </c>
      <c r="C158" s="1" t="s">
        <v>12</v>
      </c>
      <c r="D158" s="1" t="s">
        <v>37</v>
      </c>
      <c r="E158" s="1">
        <v>2019</v>
      </c>
      <c r="F158" s="1" t="s">
        <v>14</v>
      </c>
      <c r="G158" s="1" t="s">
        <v>15</v>
      </c>
      <c r="H158" s="1" t="s">
        <v>16</v>
      </c>
      <c r="I158">
        <v>96</v>
      </c>
      <c r="J158">
        <v>14</v>
      </c>
    </row>
    <row r="159" spans="1:10">
      <c r="A159" t="s">
        <v>289</v>
      </c>
      <c r="B159" s="1" t="s">
        <v>292</v>
      </c>
      <c r="C159" s="1" t="s">
        <v>12</v>
      </c>
      <c r="D159" s="1" t="s">
        <v>37</v>
      </c>
      <c r="E159" s="1">
        <v>2020</v>
      </c>
      <c r="F159" s="1" t="s">
        <v>14</v>
      </c>
      <c r="G159" s="2" t="s">
        <v>15</v>
      </c>
      <c r="H159" s="1" t="s">
        <v>16</v>
      </c>
      <c r="I159">
        <v>59</v>
      </c>
      <c r="J159">
        <v>17</v>
      </c>
    </row>
    <row r="160" spans="1:10" hidden="1">
      <c r="A160" t="s">
        <v>291</v>
      </c>
      <c r="B160" s="1" t="s">
        <v>293</v>
      </c>
      <c r="C160" s="1" t="s">
        <v>25</v>
      </c>
      <c r="D160" s="1" t="s">
        <v>30</v>
      </c>
      <c r="E160" s="1">
        <v>2018</v>
      </c>
      <c r="F160" s="1" t="s">
        <v>14</v>
      </c>
      <c r="G160" s="1" t="s">
        <v>15</v>
      </c>
      <c r="H160" s="1" t="s">
        <v>22</v>
      </c>
    </row>
    <row r="161" spans="1:10">
      <c r="A161" t="s">
        <v>291</v>
      </c>
      <c r="B161" s="1" t="s">
        <v>294</v>
      </c>
      <c r="C161" s="1" t="s">
        <v>12</v>
      </c>
      <c r="D161" s="1" t="s">
        <v>37</v>
      </c>
      <c r="E161" s="1">
        <v>2021</v>
      </c>
      <c r="F161" s="1" t="s">
        <v>14</v>
      </c>
      <c r="G161" s="1" t="s">
        <v>15</v>
      </c>
      <c r="H161" s="1" t="s">
        <v>16</v>
      </c>
      <c r="I161">
        <v>55</v>
      </c>
      <c r="J161">
        <v>17</v>
      </c>
    </row>
    <row r="162" spans="1:10">
      <c r="A162" t="s">
        <v>295</v>
      </c>
      <c r="B162" s="1" t="s">
        <v>294</v>
      </c>
      <c r="C162" s="1" t="s">
        <v>12</v>
      </c>
      <c r="D162" s="1" t="s">
        <v>37</v>
      </c>
      <c r="E162" s="1">
        <v>2021</v>
      </c>
      <c r="F162" s="1" t="s">
        <v>14</v>
      </c>
      <c r="G162" s="1" t="s">
        <v>15</v>
      </c>
      <c r="H162" s="1" t="s">
        <v>16</v>
      </c>
      <c r="I162">
        <v>73</v>
      </c>
      <c r="J162">
        <v>19</v>
      </c>
    </row>
    <row r="163" spans="1:10" hidden="1">
      <c r="A163" t="s">
        <v>296</v>
      </c>
      <c r="B163" s="1" t="s">
        <v>297</v>
      </c>
      <c r="C163" s="1" t="s">
        <v>12</v>
      </c>
      <c r="D163" s="1" t="s">
        <v>37</v>
      </c>
      <c r="E163" s="1">
        <v>2021</v>
      </c>
      <c r="F163" s="1" t="s">
        <v>53</v>
      </c>
      <c r="G163" s="2" t="s">
        <v>15</v>
      </c>
      <c r="H163" s="1" t="s">
        <v>22</v>
      </c>
    </row>
    <row r="164" spans="1:10">
      <c r="A164" t="s">
        <v>298</v>
      </c>
      <c r="B164" s="1" t="s">
        <v>299</v>
      </c>
      <c r="C164" s="1" t="s">
        <v>25</v>
      </c>
      <c r="D164" s="1" t="s">
        <v>64</v>
      </c>
      <c r="E164" s="1">
        <v>2018</v>
      </c>
      <c r="F164" s="1" t="s">
        <v>14</v>
      </c>
      <c r="G164" s="2" t="s">
        <v>15</v>
      </c>
      <c r="H164" s="1" t="s">
        <v>16</v>
      </c>
      <c r="I164">
        <v>45</v>
      </c>
      <c r="J164">
        <v>20</v>
      </c>
    </row>
    <row r="165" spans="1:10">
      <c r="A165" t="s">
        <v>300</v>
      </c>
      <c r="B165" s="1" t="s">
        <v>299</v>
      </c>
      <c r="C165" s="1" t="s">
        <v>12</v>
      </c>
      <c r="D165" s="1" t="s">
        <v>37</v>
      </c>
      <c r="E165" s="1">
        <v>2021</v>
      </c>
      <c r="F165" s="1" t="s">
        <v>14</v>
      </c>
      <c r="G165" s="1" t="s">
        <v>15</v>
      </c>
      <c r="H165" s="1" t="s">
        <v>16</v>
      </c>
      <c r="I165">
        <v>26</v>
      </c>
      <c r="J165">
        <v>2</v>
      </c>
    </row>
    <row r="166" spans="1:10" hidden="1">
      <c r="A166" t="s">
        <v>301</v>
      </c>
      <c r="B166" s="1" t="s">
        <v>302</v>
      </c>
      <c r="C166" s="1" t="s">
        <v>12</v>
      </c>
      <c r="D166" s="1" t="s">
        <v>37</v>
      </c>
      <c r="E166" s="1">
        <v>2021</v>
      </c>
      <c r="F166" s="1" t="s">
        <v>14</v>
      </c>
      <c r="G166" s="2" t="s">
        <v>15</v>
      </c>
      <c r="H166" s="1" t="s">
        <v>22</v>
      </c>
    </row>
    <row r="167" spans="1:10">
      <c r="A167" t="s">
        <v>303</v>
      </c>
      <c r="B167" s="1" t="s">
        <v>304</v>
      </c>
      <c r="C167" s="1" t="s">
        <v>25</v>
      </c>
      <c r="D167" s="1" t="s">
        <v>64</v>
      </c>
      <c r="E167" s="1">
        <v>2018</v>
      </c>
      <c r="F167" s="1" t="s">
        <v>14</v>
      </c>
      <c r="G167" s="2" t="s">
        <v>15</v>
      </c>
      <c r="H167" s="1" t="s">
        <v>16</v>
      </c>
      <c r="I167">
        <v>72</v>
      </c>
      <c r="J167">
        <v>20</v>
      </c>
    </row>
    <row r="168" spans="1:10">
      <c r="A168" t="s">
        <v>305</v>
      </c>
      <c r="B168" s="1" t="s">
        <v>306</v>
      </c>
      <c r="C168" s="1" t="s">
        <v>25</v>
      </c>
      <c r="D168" s="1" t="s">
        <v>37</v>
      </c>
      <c r="E168" s="1">
        <v>2017</v>
      </c>
      <c r="F168" s="1" t="s">
        <v>14</v>
      </c>
      <c r="G168" s="1" t="s">
        <v>15</v>
      </c>
      <c r="H168" s="1" t="s">
        <v>16</v>
      </c>
      <c r="I168">
        <v>35</v>
      </c>
      <c r="J168">
        <v>13</v>
      </c>
    </row>
    <row r="169" spans="1:10" hidden="1">
      <c r="A169" t="s">
        <v>307</v>
      </c>
      <c r="B169" s="1" t="s">
        <v>308</v>
      </c>
      <c r="C169" s="1" t="s">
        <v>25</v>
      </c>
      <c r="D169" s="1" t="s">
        <v>37</v>
      </c>
      <c r="E169" s="1">
        <v>2021</v>
      </c>
      <c r="F169" s="1" t="s">
        <v>14</v>
      </c>
      <c r="G169" s="2" t="s">
        <v>15</v>
      </c>
      <c r="H169" s="1" t="s">
        <v>22</v>
      </c>
    </row>
    <row r="170" spans="1:10">
      <c r="A170" t="s">
        <v>309</v>
      </c>
      <c r="B170" s="1" t="s">
        <v>308</v>
      </c>
      <c r="C170" s="1" t="s">
        <v>25</v>
      </c>
      <c r="D170" s="1" t="s">
        <v>30</v>
      </c>
      <c r="E170" s="1">
        <v>2020</v>
      </c>
      <c r="F170" s="1" t="s">
        <v>14</v>
      </c>
      <c r="G170" s="2" t="s">
        <v>15</v>
      </c>
      <c r="H170" s="1" t="s">
        <v>16</v>
      </c>
      <c r="I170">
        <v>59</v>
      </c>
      <c r="J170">
        <v>14</v>
      </c>
    </row>
    <row r="171" spans="1:10">
      <c r="A171" t="s">
        <v>310</v>
      </c>
      <c r="B171" s="1" t="s">
        <v>311</v>
      </c>
      <c r="C171" s="1" t="s">
        <v>12</v>
      </c>
      <c r="D171" s="1" t="s">
        <v>37</v>
      </c>
      <c r="E171" s="1">
        <v>2021</v>
      </c>
      <c r="F171" s="1" t="s">
        <v>14</v>
      </c>
      <c r="G171" s="1" t="s">
        <v>15</v>
      </c>
      <c r="H171" s="1" t="s">
        <v>16</v>
      </c>
      <c r="I171">
        <v>65</v>
      </c>
      <c r="J171">
        <v>20</v>
      </c>
    </row>
    <row r="172" spans="1:10" hidden="1">
      <c r="A172" t="s">
        <v>312</v>
      </c>
      <c r="B172" s="1" t="s">
        <v>313</v>
      </c>
      <c r="C172" s="1" t="s">
        <v>25</v>
      </c>
      <c r="D172" s="1" t="s">
        <v>64</v>
      </c>
      <c r="E172" s="1">
        <v>2020</v>
      </c>
      <c r="F172" s="1" t="s">
        <v>14</v>
      </c>
      <c r="G172" s="1" t="s">
        <v>15</v>
      </c>
      <c r="H172" s="1" t="s">
        <v>22</v>
      </c>
    </row>
    <row r="173" spans="1:10">
      <c r="A173" t="s">
        <v>314</v>
      </c>
      <c r="B173" s="1" t="s">
        <v>313</v>
      </c>
      <c r="C173" s="1" t="s">
        <v>12</v>
      </c>
      <c r="D173" s="1" t="s">
        <v>37</v>
      </c>
      <c r="E173" s="1">
        <v>2021</v>
      </c>
      <c r="F173" s="1" t="s">
        <v>14</v>
      </c>
      <c r="G173" s="1" t="s">
        <v>15</v>
      </c>
      <c r="H173" s="1" t="s">
        <v>16</v>
      </c>
      <c r="I173">
        <v>35</v>
      </c>
      <c r="J173">
        <v>15</v>
      </c>
    </row>
    <row r="174" spans="1:10">
      <c r="A174" t="s">
        <v>315</v>
      </c>
      <c r="B174" s="1" t="s">
        <v>316</v>
      </c>
      <c r="C174" s="1" t="s">
        <v>12</v>
      </c>
      <c r="D174" s="1" t="s">
        <v>37</v>
      </c>
      <c r="E174" s="1">
        <v>2021</v>
      </c>
      <c r="F174" s="1" t="s">
        <v>14</v>
      </c>
      <c r="G174" s="1" t="s">
        <v>15</v>
      </c>
      <c r="H174" s="1" t="s">
        <v>16</v>
      </c>
      <c r="I174">
        <v>79</v>
      </c>
      <c r="J174">
        <v>15</v>
      </c>
    </row>
    <row r="175" spans="1:10" hidden="1">
      <c r="A175" t="s">
        <v>317</v>
      </c>
      <c r="B175" s="1" t="s">
        <v>318</v>
      </c>
      <c r="C175" s="1" t="s">
        <v>25</v>
      </c>
      <c r="D175" s="1" t="s">
        <v>37</v>
      </c>
      <c r="E175" s="1">
        <v>2020</v>
      </c>
      <c r="F175" s="1" t="s">
        <v>14</v>
      </c>
      <c r="G175" s="1" t="s">
        <v>15</v>
      </c>
      <c r="H175" s="1" t="s">
        <v>22</v>
      </c>
    </row>
    <row r="176" spans="1:10">
      <c r="A176" t="s">
        <v>319</v>
      </c>
      <c r="B176" s="1" t="s">
        <v>320</v>
      </c>
      <c r="C176" s="1" t="s">
        <v>12</v>
      </c>
      <c r="D176" s="1" t="s">
        <v>26</v>
      </c>
      <c r="E176" s="1">
        <v>2019</v>
      </c>
      <c r="F176" s="1" t="s">
        <v>14</v>
      </c>
      <c r="G176" s="2" t="s">
        <v>15</v>
      </c>
      <c r="H176" s="1" t="s">
        <v>16</v>
      </c>
      <c r="I176">
        <v>69</v>
      </c>
      <c r="J176">
        <v>15</v>
      </c>
    </row>
    <row r="177" spans="1:10">
      <c r="A177" t="s">
        <v>321</v>
      </c>
      <c r="B177" s="1" t="s">
        <v>322</v>
      </c>
      <c r="C177" s="1" t="s">
        <v>25</v>
      </c>
      <c r="D177" s="1" t="s">
        <v>64</v>
      </c>
      <c r="E177" s="1">
        <v>2019</v>
      </c>
      <c r="F177" s="1" t="s">
        <v>14</v>
      </c>
      <c r="G177" s="1" t="s">
        <v>15</v>
      </c>
      <c r="H177" s="1" t="s">
        <v>16</v>
      </c>
      <c r="I177">
        <v>83</v>
      </c>
      <c r="J177">
        <v>6</v>
      </c>
    </row>
    <row r="178" spans="1:10" hidden="1">
      <c r="A178" t="s">
        <v>323</v>
      </c>
      <c r="B178" s="1" t="s">
        <v>324</v>
      </c>
      <c r="C178" s="1" t="s">
        <v>12</v>
      </c>
      <c r="D178" s="1" t="s">
        <v>37</v>
      </c>
      <c r="E178" s="1">
        <v>2021</v>
      </c>
      <c r="F178" s="1" t="s">
        <v>14</v>
      </c>
      <c r="G178" s="1" t="s">
        <v>15</v>
      </c>
      <c r="H178" s="1" t="s">
        <v>22</v>
      </c>
    </row>
    <row r="179" spans="1:10">
      <c r="A179" t="s">
        <v>325</v>
      </c>
      <c r="B179" s="1" t="s">
        <v>326</v>
      </c>
      <c r="C179" s="1" t="s">
        <v>25</v>
      </c>
      <c r="D179" s="1" t="s">
        <v>26</v>
      </c>
      <c r="E179" s="1">
        <v>2018</v>
      </c>
      <c r="F179" s="1" t="s">
        <v>14</v>
      </c>
      <c r="G179" s="1" t="s">
        <v>15</v>
      </c>
      <c r="H179" s="1" t="s">
        <v>16</v>
      </c>
      <c r="I179">
        <v>21</v>
      </c>
      <c r="J179">
        <v>10</v>
      </c>
    </row>
    <row r="180" spans="1:10">
      <c r="A180" t="s">
        <v>327</v>
      </c>
      <c r="B180" s="1" t="s">
        <v>328</v>
      </c>
      <c r="C180" s="1" t="s">
        <v>25</v>
      </c>
      <c r="D180" s="1" t="s">
        <v>30</v>
      </c>
      <c r="E180" s="1">
        <v>2021</v>
      </c>
      <c r="F180" s="1" t="s">
        <v>14</v>
      </c>
      <c r="G180" s="2" t="s">
        <v>15</v>
      </c>
      <c r="H180" s="1" t="s">
        <v>16</v>
      </c>
      <c r="I180">
        <v>90</v>
      </c>
      <c r="J180">
        <v>1</v>
      </c>
    </row>
    <row r="181" spans="1:10" hidden="1">
      <c r="A181" t="s">
        <v>329</v>
      </c>
      <c r="B181" s="1" t="s">
        <v>330</v>
      </c>
      <c r="C181" s="1" t="s">
        <v>25</v>
      </c>
      <c r="D181" s="1" t="s">
        <v>37</v>
      </c>
      <c r="E181" s="1">
        <v>2021</v>
      </c>
      <c r="F181" s="1" t="s">
        <v>14</v>
      </c>
      <c r="G181" s="1" t="s">
        <v>15</v>
      </c>
      <c r="H181" s="1" t="s">
        <v>22</v>
      </c>
    </row>
    <row r="182" spans="1:10">
      <c r="A182" t="s">
        <v>331</v>
      </c>
      <c r="B182" s="1" t="s">
        <v>330</v>
      </c>
      <c r="C182" s="1" t="s">
        <v>25</v>
      </c>
      <c r="D182" s="1" t="s">
        <v>37</v>
      </c>
      <c r="E182" s="1">
        <v>2018</v>
      </c>
      <c r="F182" s="1" t="s">
        <v>14</v>
      </c>
      <c r="G182" s="2" t="s">
        <v>15</v>
      </c>
      <c r="H182" s="1" t="s">
        <v>16</v>
      </c>
      <c r="I182">
        <v>68</v>
      </c>
      <c r="J182">
        <v>20</v>
      </c>
    </row>
    <row r="183" spans="1:10">
      <c r="A183" t="s">
        <v>332</v>
      </c>
      <c r="B183" s="1" t="s">
        <v>333</v>
      </c>
      <c r="C183" s="1" t="s">
        <v>25</v>
      </c>
      <c r="D183" s="1" t="s">
        <v>37</v>
      </c>
      <c r="E183" s="1">
        <v>2021</v>
      </c>
      <c r="F183" s="1" t="s">
        <v>14</v>
      </c>
      <c r="G183" s="1" t="s">
        <v>15</v>
      </c>
      <c r="H183" s="1" t="s">
        <v>16</v>
      </c>
      <c r="I183">
        <v>26</v>
      </c>
      <c r="J183">
        <v>4</v>
      </c>
    </row>
    <row r="184" spans="1:10" hidden="1">
      <c r="A184" t="s">
        <v>332</v>
      </c>
      <c r="B184" s="1" t="s">
        <v>334</v>
      </c>
      <c r="C184" s="1" t="s">
        <v>25</v>
      </c>
      <c r="D184" s="1" t="s">
        <v>64</v>
      </c>
      <c r="E184" s="1">
        <v>2019</v>
      </c>
      <c r="F184" s="1" t="s">
        <v>14</v>
      </c>
      <c r="G184" s="1" t="s">
        <v>15</v>
      </c>
      <c r="H184" s="1" t="s">
        <v>22</v>
      </c>
    </row>
    <row r="185" spans="1:10">
      <c r="A185" t="s">
        <v>335</v>
      </c>
      <c r="B185" s="1" t="s">
        <v>336</v>
      </c>
      <c r="C185" s="1" t="s">
        <v>25</v>
      </c>
      <c r="D185" s="1" t="s">
        <v>30</v>
      </c>
      <c r="E185" s="1">
        <v>2015</v>
      </c>
      <c r="F185" s="1" t="s">
        <v>14</v>
      </c>
      <c r="G185" s="1" t="s">
        <v>15</v>
      </c>
      <c r="H185" s="1" t="s">
        <v>16</v>
      </c>
      <c r="I185">
        <v>78</v>
      </c>
      <c r="J185">
        <v>16</v>
      </c>
    </row>
    <row r="186" spans="1:10">
      <c r="A186" t="s">
        <v>337</v>
      </c>
      <c r="B186" s="1" t="s">
        <v>338</v>
      </c>
      <c r="C186" s="1" t="s">
        <v>12</v>
      </c>
      <c r="D186" s="1" t="s">
        <v>37</v>
      </c>
      <c r="E186" s="1">
        <v>2016</v>
      </c>
      <c r="F186" s="1" t="s">
        <v>14</v>
      </c>
      <c r="G186" s="1" t="s">
        <v>15</v>
      </c>
      <c r="H186" s="1" t="s">
        <v>16</v>
      </c>
      <c r="I186">
        <v>85</v>
      </c>
      <c r="J186">
        <v>9</v>
      </c>
    </row>
    <row r="187" spans="1:10" hidden="1">
      <c r="A187" t="s">
        <v>339</v>
      </c>
      <c r="B187" s="1" t="s">
        <v>340</v>
      </c>
      <c r="C187" s="1" t="s">
        <v>25</v>
      </c>
      <c r="D187" s="1" t="s">
        <v>37</v>
      </c>
      <c r="E187" s="1">
        <v>2018</v>
      </c>
      <c r="F187" s="1" t="s">
        <v>14</v>
      </c>
      <c r="G187" s="1" t="s">
        <v>15</v>
      </c>
      <c r="H187" s="1" t="s">
        <v>22</v>
      </c>
    </row>
    <row r="188" spans="1:10">
      <c r="A188" t="s">
        <v>339</v>
      </c>
      <c r="B188" s="1" t="s">
        <v>341</v>
      </c>
      <c r="C188" s="1" t="s">
        <v>25</v>
      </c>
      <c r="D188" s="1" t="s">
        <v>37</v>
      </c>
      <c r="E188" s="1">
        <v>2020</v>
      </c>
      <c r="F188" s="1" t="s">
        <v>14</v>
      </c>
      <c r="G188" s="1" t="s">
        <v>15</v>
      </c>
      <c r="H188" s="1" t="s">
        <v>16</v>
      </c>
      <c r="I188">
        <v>99</v>
      </c>
      <c r="J188">
        <v>11</v>
      </c>
    </row>
    <row r="189" spans="1:10">
      <c r="A189" t="s">
        <v>342</v>
      </c>
      <c r="B189" s="1" t="s">
        <v>343</v>
      </c>
      <c r="C189" s="1" t="s">
        <v>25</v>
      </c>
      <c r="D189" s="1" t="s">
        <v>37</v>
      </c>
      <c r="E189" s="1">
        <v>2021</v>
      </c>
      <c r="F189" s="1" t="s">
        <v>14</v>
      </c>
      <c r="G189" s="1" t="s">
        <v>15</v>
      </c>
      <c r="H189" s="1" t="s">
        <v>16</v>
      </c>
      <c r="I189">
        <v>83</v>
      </c>
      <c r="J189">
        <v>20</v>
      </c>
    </row>
    <row r="190" spans="1:10" hidden="1">
      <c r="A190" t="s">
        <v>344</v>
      </c>
      <c r="B190" s="1" t="s">
        <v>345</v>
      </c>
      <c r="C190" s="1" t="s">
        <v>25</v>
      </c>
      <c r="D190" s="1" t="s">
        <v>26</v>
      </c>
      <c r="E190" s="1">
        <v>2021</v>
      </c>
      <c r="F190" s="1" t="s">
        <v>14</v>
      </c>
      <c r="G190" s="1" t="s">
        <v>15</v>
      </c>
      <c r="H190" s="1" t="s">
        <v>22</v>
      </c>
    </row>
    <row r="191" spans="1:10">
      <c r="A191" t="s">
        <v>344</v>
      </c>
      <c r="B191" s="1" t="s">
        <v>346</v>
      </c>
      <c r="C191" s="1" t="s">
        <v>25</v>
      </c>
      <c r="D191" s="1" t="s">
        <v>26</v>
      </c>
      <c r="E191" s="1">
        <v>2021</v>
      </c>
      <c r="F191" s="1" t="s">
        <v>14</v>
      </c>
      <c r="G191" s="1" t="s">
        <v>15</v>
      </c>
      <c r="H191" s="1" t="s">
        <v>16</v>
      </c>
      <c r="I191">
        <v>50</v>
      </c>
      <c r="J191">
        <v>18</v>
      </c>
    </row>
    <row r="192" spans="1:10">
      <c r="A192" t="s">
        <v>342</v>
      </c>
      <c r="B192" s="1" t="s">
        <v>347</v>
      </c>
      <c r="C192" s="1" t="s">
        <v>12</v>
      </c>
      <c r="D192" s="1" t="s">
        <v>30</v>
      </c>
      <c r="E192" s="1">
        <v>2021</v>
      </c>
      <c r="F192" s="1" t="s">
        <v>14</v>
      </c>
      <c r="G192" s="1" t="s">
        <v>15</v>
      </c>
      <c r="H192" s="1" t="s">
        <v>16</v>
      </c>
      <c r="I192">
        <v>94</v>
      </c>
      <c r="J192">
        <v>3</v>
      </c>
    </row>
    <row r="193" spans="1:10" hidden="1">
      <c r="A193" t="s">
        <v>344</v>
      </c>
      <c r="B193" s="1" t="s">
        <v>348</v>
      </c>
      <c r="C193" s="1" t="s">
        <v>25</v>
      </c>
      <c r="D193" s="1" t="s">
        <v>37</v>
      </c>
      <c r="E193" s="1">
        <v>2017</v>
      </c>
      <c r="F193" s="1" t="s">
        <v>14</v>
      </c>
      <c r="G193" s="1" t="s">
        <v>15</v>
      </c>
      <c r="H193" s="1" t="s">
        <v>22</v>
      </c>
    </row>
    <row r="194" spans="1:10">
      <c r="A194" t="s">
        <v>344</v>
      </c>
      <c r="B194" s="1" t="s">
        <v>349</v>
      </c>
      <c r="C194" s="1" t="s">
        <v>25</v>
      </c>
      <c r="D194" s="1" t="s">
        <v>37</v>
      </c>
      <c r="E194" s="1">
        <v>2021</v>
      </c>
      <c r="F194" s="1" t="s">
        <v>14</v>
      </c>
      <c r="G194" s="2" t="s">
        <v>15</v>
      </c>
      <c r="H194" s="1" t="s">
        <v>16</v>
      </c>
      <c r="I194">
        <v>73</v>
      </c>
      <c r="J194">
        <v>4</v>
      </c>
    </row>
    <row r="195" spans="1:10">
      <c r="A195" t="s">
        <v>342</v>
      </c>
      <c r="B195" s="1" t="s">
        <v>350</v>
      </c>
      <c r="C195" s="1" t="s">
        <v>25</v>
      </c>
      <c r="D195" s="1" t="s">
        <v>37</v>
      </c>
      <c r="E195" s="1">
        <v>2020</v>
      </c>
      <c r="F195" s="1" t="s">
        <v>53</v>
      </c>
      <c r="G195" s="1" t="s">
        <v>15</v>
      </c>
      <c r="H195" s="1" t="s">
        <v>16</v>
      </c>
      <c r="I195">
        <v>63</v>
      </c>
      <c r="J195">
        <v>4</v>
      </c>
    </row>
    <row r="196" spans="1:10" hidden="1">
      <c r="A196" t="s">
        <v>344</v>
      </c>
      <c r="B196" s="1" t="s">
        <v>351</v>
      </c>
      <c r="C196" s="1" t="s">
        <v>25</v>
      </c>
      <c r="D196" s="1" t="s">
        <v>37</v>
      </c>
      <c r="E196" s="1">
        <v>2020</v>
      </c>
      <c r="F196" s="1" t="s">
        <v>14</v>
      </c>
      <c r="G196" s="1" t="s">
        <v>15</v>
      </c>
      <c r="H196" s="1" t="s">
        <v>22</v>
      </c>
    </row>
    <row r="197" spans="1:10">
      <c r="A197" t="s">
        <v>352</v>
      </c>
      <c r="B197" s="1" t="s">
        <v>351</v>
      </c>
      <c r="C197" s="1" t="s">
        <v>25</v>
      </c>
      <c r="D197" s="1" t="s">
        <v>37</v>
      </c>
      <c r="E197" s="1">
        <v>2021</v>
      </c>
      <c r="F197" s="1" t="s">
        <v>14</v>
      </c>
      <c r="G197" s="1" t="s">
        <v>15</v>
      </c>
      <c r="H197" s="1" t="s">
        <v>16</v>
      </c>
      <c r="I197">
        <v>56</v>
      </c>
      <c r="J197">
        <v>8</v>
      </c>
    </row>
    <row r="198" spans="1:10">
      <c r="A198" t="s">
        <v>352</v>
      </c>
      <c r="B198" s="1" t="s">
        <v>351</v>
      </c>
      <c r="C198" s="1" t="s">
        <v>12</v>
      </c>
      <c r="D198" s="1" t="s">
        <v>37</v>
      </c>
      <c r="E198" s="1">
        <v>2020</v>
      </c>
      <c r="G198" s="1" t="s">
        <v>15</v>
      </c>
      <c r="H198" s="1" t="s">
        <v>16</v>
      </c>
      <c r="I198">
        <v>52</v>
      </c>
      <c r="J198">
        <v>16</v>
      </c>
    </row>
    <row r="199" spans="1:10" hidden="1">
      <c r="A199" t="s">
        <v>353</v>
      </c>
      <c r="B199" s="1" t="s">
        <v>351</v>
      </c>
      <c r="C199" s="1" t="s">
        <v>25</v>
      </c>
      <c r="D199" s="1" t="s">
        <v>64</v>
      </c>
      <c r="E199" s="1">
        <v>2021</v>
      </c>
      <c r="F199" s="1" t="s">
        <v>14</v>
      </c>
      <c r="G199" s="1" t="s">
        <v>15</v>
      </c>
      <c r="H199" s="1" t="s">
        <v>22</v>
      </c>
    </row>
    <row r="200" spans="1:10">
      <c r="A200" t="s">
        <v>354</v>
      </c>
      <c r="B200" s="1" t="s">
        <v>351</v>
      </c>
      <c r="C200" s="1" t="s">
        <v>25</v>
      </c>
      <c r="D200" s="1" t="s">
        <v>37</v>
      </c>
      <c r="E200" s="1">
        <v>2021</v>
      </c>
      <c r="F200" s="1" t="s">
        <v>14</v>
      </c>
      <c r="G200" s="1" t="s">
        <v>15</v>
      </c>
      <c r="H200" s="1" t="s">
        <v>16</v>
      </c>
      <c r="I200">
        <v>95</v>
      </c>
      <c r="J200">
        <v>19</v>
      </c>
    </row>
    <row r="201" spans="1:10">
      <c r="A201" t="s">
        <v>355</v>
      </c>
      <c r="B201" s="1" t="s">
        <v>351</v>
      </c>
      <c r="C201" s="1" t="s">
        <v>12</v>
      </c>
      <c r="D201" s="1" t="s">
        <v>37</v>
      </c>
      <c r="E201" s="1">
        <v>2021</v>
      </c>
      <c r="F201" s="1" t="s">
        <v>14</v>
      </c>
      <c r="G201" s="2" t="s">
        <v>15</v>
      </c>
      <c r="H201" s="1" t="s">
        <v>16</v>
      </c>
      <c r="I201">
        <v>85</v>
      </c>
      <c r="J201">
        <v>19</v>
      </c>
    </row>
    <row r="202" spans="1:10" hidden="1">
      <c r="A202" t="s">
        <v>356</v>
      </c>
      <c r="B202" s="1" t="s">
        <v>357</v>
      </c>
      <c r="C202" s="1" t="s">
        <v>25</v>
      </c>
      <c r="D202" s="1" t="s">
        <v>37</v>
      </c>
      <c r="E202" s="1">
        <v>2021</v>
      </c>
      <c r="F202" s="1" t="s">
        <v>14</v>
      </c>
      <c r="G202" s="1" t="s">
        <v>15</v>
      </c>
      <c r="H202" s="1" t="s">
        <v>22</v>
      </c>
    </row>
    <row r="203" spans="1:10">
      <c r="A203" t="s">
        <v>358</v>
      </c>
      <c r="B203" s="1" t="s">
        <v>359</v>
      </c>
      <c r="C203" s="1" t="s">
        <v>25</v>
      </c>
      <c r="D203" s="1" t="s">
        <v>64</v>
      </c>
      <c r="E203" s="1">
        <v>2018</v>
      </c>
      <c r="F203" s="1" t="s">
        <v>14</v>
      </c>
      <c r="G203" s="2" t="s">
        <v>15</v>
      </c>
      <c r="H203" s="1" t="s">
        <v>16</v>
      </c>
      <c r="I203">
        <v>92</v>
      </c>
      <c r="J203">
        <v>6</v>
      </c>
    </row>
    <row r="204" spans="1:10">
      <c r="A204" t="s">
        <v>360</v>
      </c>
      <c r="B204" s="1" t="s">
        <v>361</v>
      </c>
      <c r="C204" s="1" t="s">
        <v>25</v>
      </c>
      <c r="D204" s="1" t="s">
        <v>37</v>
      </c>
      <c r="E204" s="1">
        <v>2016</v>
      </c>
      <c r="F204" s="1" t="s">
        <v>14</v>
      </c>
      <c r="G204" s="2" t="s">
        <v>15</v>
      </c>
      <c r="H204" s="1" t="s">
        <v>16</v>
      </c>
      <c r="I204">
        <v>63</v>
      </c>
      <c r="J204">
        <v>12</v>
      </c>
    </row>
    <row r="205" spans="1:10" hidden="1">
      <c r="A205" t="s">
        <v>362</v>
      </c>
      <c r="B205" s="1" t="s">
        <v>363</v>
      </c>
      <c r="C205" s="1" t="s">
        <v>25</v>
      </c>
      <c r="D205" s="1" t="s">
        <v>37</v>
      </c>
      <c r="E205" s="1">
        <v>2021</v>
      </c>
      <c r="F205" s="1" t="s">
        <v>14</v>
      </c>
      <c r="G205" s="1" t="s">
        <v>15</v>
      </c>
      <c r="H205" s="1" t="s">
        <v>22</v>
      </c>
    </row>
    <row r="206" spans="1:10">
      <c r="A206" t="s">
        <v>364</v>
      </c>
      <c r="B206" s="1" t="s">
        <v>363</v>
      </c>
      <c r="C206" s="1" t="s">
        <v>25</v>
      </c>
      <c r="D206" s="1" t="s">
        <v>37</v>
      </c>
      <c r="E206" s="1">
        <v>2015</v>
      </c>
      <c r="F206" s="1" t="s">
        <v>14</v>
      </c>
      <c r="G206" s="1" t="s">
        <v>15</v>
      </c>
      <c r="H206" s="1" t="s">
        <v>16</v>
      </c>
      <c r="I206">
        <v>22</v>
      </c>
      <c r="J206">
        <v>10</v>
      </c>
    </row>
    <row r="207" spans="1:10">
      <c r="A207" t="s">
        <v>365</v>
      </c>
      <c r="B207" s="1" t="s">
        <v>366</v>
      </c>
      <c r="C207" s="1" t="s">
        <v>25</v>
      </c>
      <c r="D207" s="1" t="s">
        <v>30</v>
      </c>
      <c r="E207" s="1">
        <v>2021</v>
      </c>
      <c r="F207" s="1" t="s">
        <v>14</v>
      </c>
      <c r="G207" s="1" t="s">
        <v>15</v>
      </c>
      <c r="H207" s="1" t="s">
        <v>16</v>
      </c>
      <c r="I207">
        <v>22</v>
      </c>
      <c r="J207">
        <v>18</v>
      </c>
    </row>
    <row r="208" spans="1:10" hidden="1">
      <c r="A208" t="s">
        <v>365</v>
      </c>
      <c r="B208" s="1" t="s">
        <v>367</v>
      </c>
      <c r="C208" s="1" t="s">
        <v>25</v>
      </c>
      <c r="D208" s="1" t="s">
        <v>64</v>
      </c>
      <c r="E208" s="1">
        <v>2018</v>
      </c>
      <c r="F208" s="1" t="s">
        <v>14</v>
      </c>
      <c r="G208" s="1" t="s">
        <v>15</v>
      </c>
      <c r="H208" s="1" t="s">
        <v>22</v>
      </c>
    </row>
    <row r="209" spans="1:10">
      <c r="A209" t="s">
        <v>368</v>
      </c>
      <c r="B209" s="1" t="s">
        <v>366</v>
      </c>
      <c r="C209" s="1" t="s">
        <v>25</v>
      </c>
      <c r="D209" s="1" t="s">
        <v>37</v>
      </c>
      <c r="E209" s="1">
        <v>2017</v>
      </c>
      <c r="F209" s="1" t="s">
        <v>14</v>
      </c>
      <c r="G209" s="1" t="s">
        <v>15</v>
      </c>
      <c r="H209" s="1" t="s">
        <v>16</v>
      </c>
      <c r="I209">
        <v>30</v>
      </c>
      <c r="J209">
        <v>3</v>
      </c>
    </row>
    <row r="210" spans="1:10">
      <c r="A210" t="s">
        <v>369</v>
      </c>
      <c r="B210" s="1" t="s">
        <v>366</v>
      </c>
      <c r="C210" s="1" t="s">
        <v>25</v>
      </c>
      <c r="D210" s="1" t="s">
        <v>26</v>
      </c>
      <c r="E210" s="1">
        <v>2019</v>
      </c>
      <c r="F210" s="1" t="s">
        <v>14</v>
      </c>
      <c r="G210" s="1" t="s">
        <v>15</v>
      </c>
      <c r="H210" s="1" t="s">
        <v>16</v>
      </c>
      <c r="I210">
        <v>60</v>
      </c>
      <c r="J210">
        <v>16</v>
      </c>
    </row>
    <row r="211" spans="1:10" hidden="1">
      <c r="A211" t="s">
        <v>370</v>
      </c>
      <c r="B211" s="1" t="s">
        <v>366</v>
      </c>
      <c r="C211" s="1" t="s">
        <v>25</v>
      </c>
      <c r="D211" s="1" t="s">
        <v>37</v>
      </c>
      <c r="E211" s="1">
        <v>2021</v>
      </c>
      <c r="F211" s="1" t="s">
        <v>14</v>
      </c>
      <c r="G211" s="1" t="s">
        <v>15</v>
      </c>
      <c r="H211" s="1" t="s">
        <v>22</v>
      </c>
    </row>
    <row r="212" spans="1:10">
      <c r="A212" t="s">
        <v>371</v>
      </c>
      <c r="B212" s="1" t="s">
        <v>366</v>
      </c>
      <c r="C212" s="1" t="s">
        <v>12</v>
      </c>
      <c r="D212" s="1" t="s">
        <v>64</v>
      </c>
      <c r="E212" s="1">
        <v>2021</v>
      </c>
      <c r="F212" s="1" t="s">
        <v>14</v>
      </c>
      <c r="G212" s="1" t="s">
        <v>15</v>
      </c>
      <c r="H212" s="1" t="s">
        <v>16</v>
      </c>
      <c r="I212">
        <v>97</v>
      </c>
      <c r="J212">
        <v>9</v>
      </c>
    </row>
    <row r="213" spans="1:10">
      <c r="A213" t="s">
        <v>372</v>
      </c>
      <c r="B213" s="1" t="s">
        <v>366</v>
      </c>
      <c r="C213" s="1" t="s">
        <v>25</v>
      </c>
      <c r="D213" s="1" t="s">
        <v>26</v>
      </c>
      <c r="E213" s="1">
        <v>2019</v>
      </c>
      <c r="F213" s="1" t="s">
        <v>14</v>
      </c>
      <c r="G213" s="1" t="s">
        <v>15</v>
      </c>
      <c r="H213" s="1" t="s">
        <v>16</v>
      </c>
      <c r="I213">
        <v>74</v>
      </c>
      <c r="J213">
        <v>12</v>
      </c>
    </row>
    <row r="214" spans="1:10" hidden="1">
      <c r="A214" t="s">
        <v>373</v>
      </c>
      <c r="B214" s="1" t="s">
        <v>366</v>
      </c>
      <c r="C214" s="1" t="s">
        <v>12</v>
      </c>
      <c r="D214" s="1" t="s">
        <v>37</v>
      </c>
      <c r="E214" s="1">
        <v>2017</v>
      </c>
      <c r="F214" s="1" t="s">
        <v>14</v>
      </c>
      <c r="G214" s="1" t="s">
        <v>15</v>
      </c>
      <c r="H214" s="1" t="s">
        <v>22</v>
      </c>
    </row>
    <row r="215" spans="1:10">
      <c r="A215" t="s">
        <v>373</v>
      </c>
      <c r="B215" s="1" t="s">
        <v>374</v>
      </c>
      <c r="C215" s="1" t="s">
        <v>25</v>
      </c>
      <c r="D215" s="1" t="s">
        <v>64</v>
      </c>
      <c r="E215" s="1">
        <v>2018</v>
      </c>
      <c r="F215" s="1" t="s">
        <v>14</v>
      </c>
      <c r="G215" s="1" t="s">
        <v>15</v>
      </c>
      <c r="H215" s="1" t="s">
        <v>16</v>
      </c>
      <c r="I215">
        <v>40</v>
      </c>
      <c r="J215">
        <v>12</v>
      </c>
    </row>
    <row r="216" spans="1:10">
      <c r="A216" t="s">
        <v>372</v>
      </c>
      <c r="B216" s="1" t="s">
        <v>375</v>
      </c>
      <c r="C216" s="1" t="s">
        <v>12</v>
      </c>
      <c r="D216" s="1" t="s">
        <v>37</v>
      </c>
      <c r="E216" s="1">
        <v>2015</v>
      </c>
      <c r="F216" s="1" t="s">
        <v>14</v>
      </c>
      <c r="G216" s="1" t="s">
        <v>15</v>
      </c>
      <c r="H216" s="1" t="s">
        <v>16</v>
      </c>
      <c r="I216">
        <v>86</v>
      </c>
      <c r="J216">
        <v>8</v>
      </c>
    </row>
    <row r="217" spans="1:10" hidden="1">
      <c r="A217" t="s">
        <v>372</v>
      </c>
      <c r="B217" s="1" t="s">
        <v>374</v>
      </c>
      <c r="C217" s="1" t="s">
        <v>12</v>
      </c>
      <c r="D217" s="1" t="s">
        <v>37</v>
      </c>
      <c r="E217" s="1">
        <v>2020</v>
      </c>
      <c r="F217" s="1" t="s">
        <v>14</v>
      </c>
      <c r="G217" s="1" t="s">
        <v>15</v>
      </c>
      <c r="H217" s="1" t="s">
        <v>22</v>
      </c>
    </row>
    <row r="218" spans="1:10">
      <c r="A218" t="s">
        <v>373</v>
      </c>
      <c r="B218" s="1" t="s">
        <v>374</v>
      </c>
      <c r="C218" s="1" t="s">
        <v>12</v>
      </c>
      <c r="D218" s="1" t="s">
        <v>30</v>
      </c>
      <c r="E218" s="1">
        <v>2021</v>
      </c>
      <c r="F218" s="1" t="s">
        <v>14</v>
      </c>
      <c r="G218" s="1" t="s">
        <v>15</v>
      </c>
      <c r="H218" s="1" t="s">
        <v>16</v>
      </c>
      <c r="I218">
        <v>66</v>
      </c>
      <c r="J218">
        <v>7</v>
      </c>
    </row>
    <row r="219" spans="1:10">
      <c r="A219" t="s">
        <v>373</v>
      </c>
      <c r="B219" s="1" t="s">
        <v>376</v>
      </c>
      <c r="C219" s="1" t="s">
        <v>12</v>
      </c>
      <c r="D219" s="1" t="s">
        <v>37</v>
      </c>
      <c r="E219" s="1">
        <v>2015</v>
      </c>
      <c r="F219" s="1" t="s">
        <v>14</v>
      </c>
      <c r="G219" s="1" t="s">
        <v>15</v>
      </c>
      <c r="H219" s="1" t="s">
        <v>16</v>
      </c>
      <c r="I219">
        <v>51</v>
      </c>
      <c r="J219">
        <v>4</v>
      </c>
    </row>
    <row r="220" spans="1:10" hidden="1">
      <c r="A220" t="s">
        <v>377</v>
      </c>
      <c r="B220" s="1" t="s">
        <v>375</v>
      </c>
      <c r="C220" s="1" t="s">
        <v>25</v>
      </c>
      <c r="D220" s="1" t="s">
        <v>64</v>
      </c>
      <c r="E220" s="1">
        <v>2020</v>
      </c>
      <c r="F220" s="1" t="s">
        <v>14</v>
      </c>
      <c r="G220" s="1" t="s">
        <v>15</v>
      </c>
      <c r="H220" s="1" t="s">
        <v>22</v>
      </c>
    </row>
    <row r="221" spans="1:10">
      <c r="A221" t="s">
        <v>377</v>
      </c>
      <c r="B221" s="1" t="s">
        <v>374</v>
      </c>
      <c r="C221" s="1" t="s">
        <v>25</v>
      </c>
      <c r="D221" s="1" t="s">
        <v>37</v>
      </c>
      <c r="E221" s="1">
        <v>2015</v>
      </c>
      <c r="F221" s="1" t="s">
        <v>14</v>
      </c>
      <c r="G221" s="1" t="s">
        <v>15</v>
      </c>
      <c r="H221" s="1" t="s">
        <v>16</v>
      </c>
      <c r="I221">
        <v>29</v>
      </c>
      <c r="J221">
        <v>11</v>
      </c>
    </row>
    <row r="222" spans="1:10">
      <c r="A222" t="s">
        <v>378</v>
      </c>
      <c r="B222" s="1" t="s">
        <v>374</v>
      </c>
      <c r="C222" s="1" t="s">
        <v>25</v>
      </c>
      <c r="D222" s="1" t="s">
        <v>64</v>
      </c>
      <c r="E222" s="1">
        <v>2018</v>
      </c>
      <c r="F222" s="1" t="s">
        <v>14</v>
      </c>
      <c r="G222" s="2" t="s">
        <v>15</v>
      </c>
      <c r="H222" s="1" t="s">
        <v>16</v>
      </c>
      <c r="I222">
        <v>27</v>
      </c>
      <c r="J222">
        <v>4</v>
      </c>
    </row>
    <row r="223" spans="1:10" hidden="1">
      <c r="A223" t="s">
        <v>379</v>
      </c>
      <c r="B223" s="1" t="s">
        <v>374</v>
      </c>
      <c r="C223" s="1" t="s">
        <v>25</v>
      </c>
      <c r="D223" s="1" t="s">
        <v>37</v>
      </c>
      <c r="E223" s="1">
        <v>2020</v>
      </c>
      <c r="F223" s="1" t="s">
        <v>14</v>
      </c>
      <c r="G223" s="1" t="s">
        <v>15</v>
      </c>
      <c r="H223" s="1" t="s">
        <v>22</v>
      </c>
    </row>
    <row r="224" spans="1:10">
      <c r="A224" t="s">
        <v>379</v>
      </c>
      <c r="B224" s="1" t="s">
        <v>380</v>
      </c>
      <c r="C224" s="1" t="s">
        <v>25</v>
      </c>
      <c r="D224" s="1" t="s">
        <v>37</v>
      </c>
      <c r="E224" s="1">
        <v>2021</v>
      </c>
      <c r="F224" s="1" t="s">
        <v>14</v>
      </c>
      <c r="G224" s="2" t="s">
        <v>15</v>
      </c>
      <c r="H224" s="1" t="s">
        <v>16</v>
      </c>
      <c r="I224">
        <v>97</v>
      </c>
      <c r="J224">
        <v>7</v>
      </c>
    </row>
    <row r="225" spans="1:10">
      <c r="A225" t="s">
        <v>381</v>
      </c>
      <c r="B225" s="1" t="s">
        <v>374</v>
      </c>
      <c r="C225" s="1" t="s">
        <v>12</v>
      </c>
      <c r="D225" s="1" t="s">
        <v>37</v>
      </c>
      <c r="E225" s="1">
        <v>2021</v>
      </c>
      <c r="F225" s="1" t="s">
        <v>14</v>
      </c>
      <c r="G225" s="2" t="s">
        <v>15</v>
      </c>
      <c r="H225" s="1" t="s">
        <v>16</v>
      </c>
      <c r="I225">
        <v>67</v>
      </c>
      <c r="J225">
        <v>11</v>
      </c>
    </row>
    <row r="226" spans="1:10" hidden="1">
      <c r="A226" t="s">
        <v>379</v>
      </c>
      <c r="B226" s="1" t="s">
        <v>374</v>
      </c>
      <c r="C226" s="1" t="s">
        <v>25</v>
      </c>
      <c r="D226" s="1" t="s">
        <v>37</v>
      </c>
      <c r="E226" s="1">
        <v>2021</v>
      </c>
      <c r="F226" s="1" t="s">
        <v>14</v>
      </c>
      <c r="G226" s="2" t="s">
        <v>15</v>
      </c>
      <c r="H226" s="1" t="s">
        <v>22</v>
      </c>
    </row>
    <row r="227" spans="1:10">
      <c r="A227" t="s">
        <v>379</v>
      </c>
      <c r="B227" s="1" t="s">
        <v>374</v>
      </c>
      <c r="C227" s="1" t="s">
        <v>25</v>
      </c>
      <c r="D227" s="1" t="s">
        <v>37</v>
      </c>
      <c r="E227" s="1">
        <v>2021</v>
      </c>
      <c r="F227" s="1" t="s">
        <v>14</v>
      </c>
      <c r="G227" s="1" t="s">
        <v>382</v>
      </c>
      <c r="H227" s="1" t="s">
        <v>16</v>
      </c>
      <c r="I227">
        <v>35</v>
      </c>
      <c r="J227">
        <v>17</v>
      </c>
    </row>
    <row r="228" spans="1:10">
      <c r="A228" t="s">
        <v>383</v>
      </c>
      <c r="B228" s="1" t="s">
        <v>374</v>
      </c>
      <c r="C228" s="1" t="s">
        <v>25</v>
      </c>
      <c r="D228" s="1" t="s">
        <v>64</v>
      </c>
      <c r="E228" s="1">
        <v>2017</v>
      </c>
      <c r="F228" s="1" t="s">
        <v>14</v>
      </c>
      <c r="G228" s="2" t="s">
        <v>15</v>
      </c>
      <c r="H228" s="1" t="s">
        <v>16</v>
      </c>
      <c r="I228">
        <v>89</v>
      </c>
      <c r="J228">
        <v>19</v>
      </c>
    </row>
    <row r="229" spans="1:10" hidden="1">
      <c r="A229" t="s">
        <v>384</v>
      </c>
      <c r="B229" s="1" t="s">
        <v>374</v>
      </c>
      <c r="C229" s="1" t="s">
        <v>12</v>
      </c>
      <c r="D229" s="1" t="s">
        <v>37</v>
      </c>
      <c r="E229" s="1">
        <v>2021</v>
      </c>
      <c r="F229" s="1" t="s">
        <v>14</v>
      </c>
      <c r="G229" s="2" t="s">
        <v>15</v>
      </c>
      <c r="H229" s="1" t="s">
        <v>22</v>
      </c>
    </row>
    <row r="230" spans="1:10">
      <c r="A230" t="s">
        <v>385</v>
      </c>
      <c r="B230" s="1" t="s">
        <v>374</v>
      </c>
      <c r="C230" s="1" t="s">
        <v>12</v>
      </c>
      <c r="D230" s="1" t="s">
        <v>37</v>
      </c>
      <c r="E230" s="1">
        <v>2021</v>
      </c>
      <c r="F230" s="1" t="s">
        <v>14</v>
      </c>
      <c r="G230" s="2" t="s">
        <v>15</v>
      </c>
      <c r="H230" s="1" t="s">
        <v>16</v>
      </c>
      <c r="I230">
        <v>53</v>
      </c>
      <c r="J230">
        <v>10</v>
      </c>
    </row>
    <row r="231" spans="1:10">
      <c r="A231" t="s">
        <v>386</v>
      </c>
      <c r="B231" s="1" t="s">
        <v>374</v>
      </c>
      <c r="C231" s="1" t="s">
        <v>12</v>
      </c>
      <c r="D231" s="1" t="s">
        <v>37</v>
      </c>
      <c r="E231" s="1">
        <v>2021</v>
      </c>
      <c r="F231" s="1" t="s">
        <v>14</v>
      </c>
      <c r="G231" s="2" t="s">
        <v>15</v>
      </c>
      <c r="H231" s="1" t="s">
        <v>16</v>
      </c>
      <c r="I231">
        <v>78</v>
      </c>
      <c r="J231">
        <v>20</v>
      </c>
    </row>
    <row r="232" spans="1:10" hidden="1">
      <c r="A232" t="s">
        <v>387</v>
      </c>
      <c r="B232" s="1" t="s">
        <v>388</v>
      </c>
      <c r="C232" s="1" t="s">
        <v>12</v>
      </c>
      <c r="D232" s="1" t="s">
        <v>37</v>
      </c>
      <c r="E232" s="1">
        <v>2017</v>
      </c>
      <c r="F232" s="1" t="s">
        <v>53</v>
      </c>
      <c r="G232" s="2" t="s">
        <v>15</v>
      </c>
      <c r="H232" s="1" t="s">
        <v>22</v>
      </c>
    </row>
    <row r="233" spans="1:10">
      <c r="A233" t="s">
        <v>389</v>
      </c>
      <c r="B233" s="1" t="s">
        <v>390</v>
      </c>
      <c r="C233" s="1" t="s">
        <v>12</v>
      </c>
      <c r="D233" s="1" t="s">
        <v>37</v>
      </c>
      <c r="E233" s="1">
        <v>2021</v>
      </c>
      <c r="F233" s="1" t="s">
        <v>14</v>
      </c>
      <c r="G233" s="2" t="s">
        <v>15</v>
      </c>
      <c r="H233" s="1" t="s">
        <v>16</v>
      </c>
      <c r="I233">
        <v>53</v>
      </c>
      <c r="J233">
        <v>16</v>
      </c>
    </row>
    <row r="234" spans="1:10">
      <c r="A234" t="s">
        <v>389</v>
      </c>
      <c r="B234" s="1" t="s">
        <v>391</v>
      </c>
      <c r="C234" s="1" t="s">
        <v>25</v>
      </c>
      <c r="D234" s="1" t="s">
        <v>30</v>
      </c>
      <c r="E234" s="1">
        <v>2019</v>
      </c>
      <c r="F234" s="1" t="s">
        <v>14</v>
      </c>
      <c r="G234" s="2" t="s">
        <v>15</v>
      </c>
      <c r="H234" s="1" t="s">
        <v>16</v>
      </c>
      <c r="I234">
        <v>93</v>
      </c>
      <c r="J234">
        <v>12</v>
      </c>
    </row>
    <row r="235" spans="1:10" hidden="1">
      <c r="A235" t="s">
        <v>387</v>
      </c>
      <c r="B235" s="1" t="s">
        <v>392</v>
      </c>
      <c r="C235" s="1" t="s">
        <v>12</v>
      </c>
      <c r="D235" s="1" t="s">
        <v>37</v>
      </c>
      <c r="E235" s="1">
        <v>2021</v>
      </c>
      <c r="F235" s="1" t="s">
        <v>14</v>
      </c>
      <c r="G235" s="1" t="s">
        <v>382</v>
      </c>
      <c r="H235" s="1" t="s">
        <v>22</v>
      </c>
    </row>
    <row r="236" spans="1:10">
      <c r="A236" t="s">
        <v>393</v>
      </c>
      <c r="B236" s="1" t="s">
        <v>394</v>
      </c>
      <c r="C236" s="1" t="s">
        <v>25</v>
      </c>
      <c r="D236" s="1" t="s">
        <v>37</v>
      </c>
      <c r="E236" s="1">
        <v>2021</v>
      </c>
      <c r="F236" s="1" t="s">
        <v>14</v>
      </c>
      <c r="G236" s="1" t="s">
        <v>395</v>
      </c>
      <c r="H236" s="1" t="s">
        <v>16</v>
      </c>
      <c r="I236">
        <v>34</v>
      </c>
      <c r="J236">
        <v>18</v>
      </c>
    </row>
    <row r="237" spans="1:10">
      <c r="A237" t="s">
        <v>396</v>
      </c>
      <c r="B237" s="1" t="s">
        <v>397</v>
      </c>
      <c r="C237" s="1" t="s">
        <v>12</v>
      </c>
      <c r="D237" s="1" t="s">
        <v>37</v>
      </c>
      <c r="E237" s="1">
        <v>2021</v>
      </c>
      <c r="F237" s="1" t="s">
        <v>14</v>
      </c>
      <c r="G237" s="1" t="s">
        <v>382</v>
      </c>
      <c r="H237" s="1" t="s">
        <v>16</v>
      </c>
      <c r="I237">
        <v>55</v>
      </c>
      <c r="J237">
        <v>14</v>
      </c>
    </row>
    <row r="238" spans="1:10" hidden="1">
      <c r="A238" t="s">
        <v>398</v>
      </c>
      <c r="B238" s="1" t="s">
        <v>399</v>
      </c>
      <c r="C238" s="1" t="s">
        <v>25</v>
      </c>
      <c r="D238" s="1" t="s">
        <v>26</v>
      </c>
      <c r="E238" s="1">
        <v>2020</v>
      </c>
      <c r="F238" s="1" t="s">
        <v>14</v>
      </c>
      <c r="G238" s="1" t="s">
        <v>15</v>
      </c>
      <c r="H238" s="1" t="s">
        <v>22</v>
      </c>
    </row>
    <row r="239" spans="1:10">
      <c r="A239" t="s">
        <v>398</v>
      </c>
      <c r="B239" s="1" t="s">
        <v>399</v>
      </c>
      <c r="C239" s="1" t="s">
        <v>12</v>
      </c>
      <c r="D239" s="1" t="s">
        <v>30</v>
      </c>
      <c r="E239" s="1">
        <v>2020</v>
      </c>
      <c r="F239" s="1" t="s">
        <v>14</v>
      </c>
      <c r="G239" s="1" t="s">
        <v>15</v>
      </c>
      <c r="H239" s="1" t="s">
        <v>16</v>
      </c>
      <c r="I239">
        <v>46</v>
      </c>
      <c r="J239">
        <v>15</v>
      </c>
    </row>
    <row r="240" spans="1:10">
      <c r="A240" t="s">
        <v>400</v>
      </c>
      <c r="B240" s="1" t="s">
        <v>401</v>
      </c>
      <c r="C240" s="1" t="s">
        <v>25</v>
      </c>
      <c r="D240" s="1" t="s">
        <v>37</v>
      </c>
      <c r="E240" s="1">
        <v>2018</v>
      </c>
      <c r="F240" s="1" t="s">
        <v>14</v>
      </c>
      <c r="G240" s="1" t="s">
        <v>382</v>
      </c>
      <c r="H240" s="1" t="s">
        <v>16</v>
      </c>
      <c r="I240">
        <v>98</v>
      </c>
      <c r="J240">
        <v>1</v>
      </c>
    </row>
    <row r="241" spans="1:10" hidden="1">
      <c r="A241" t="s">
        <v>398</v>
      </c>
      <c r="B241" s="1" t="s">
        <v>402</v>
      </c>
      <c r="C241" s="1" t="s">
        <v>25</v>
      </c>
      <c r="D241" s="1" t="s">
        <v>37</v>
      </c>
      <c r="E241" s="1">
        <v>2021</v>
      </c>
      <c r="F241" s="1" t="s">
        <v>14</v>
      </c>
      <c r="G241" s="1" t="s">
        <v>382</v>
      </c>
      <c r="H241" s="1" t="s">
        <v>22</v>
      </c>
    </row>
    <row r="242" spans="1:10">
      <c r="A242" t="s">
        <v>398</v>
      </c>
      <c r="B242" s="1" t="s">
        <v>403</v>
      </c>
      <c r="C242" s="1" t="s">
        <v>12</v>
      </c>
      <c r="D242" s="1" t="s">
        <v>37</v>
      </c>
      <c r="E242" s="1">
        <v>2021</v>
      </c>
      <c r="F242" s="1" t="s">
        <v>14</v>
      </c>
      <c r="G242" s="1" t="s">
        <v>15</v>
      </c>
      <c r="H242" s="1" t="s">
        <v>16</v>
      </c>
      <c r="I242">
        <v>69</v>
      </c>
      <c r="J242">
        <v>1</v>
      </c>
    </row>
    <row r="243" spans="1:10">
      <c r="A243" t="s">
        <v>404</v>
      </c>
      <c r="B243" s="1" t="s">
        <v>405</v>
      </c>
      <c r="C243" s="1" t="s">
        <v>25</v>
      </c>
      <c r="D243" s="1" t="s">
        <v>37</v>
      </c>
      <c r="E243" s="1">
        <v>2021</v>
      </c>
      <c r="F243" s="1" t="s">
        <v>14</v>
      </c>
      <c r="G243" s="1" t="s">
        <v>382</v>
      </c>
      <c r="H243" s="1" t="s">
        <v>16</v>
      </c>
      <c r="I243">
        <v>69</v>
      </c>
      <c r="J243">
        <v>8</v>
      </c>
    </row>
    <row r="244" spans="1:10" hidden="1">
      <c r="A244" t="s">
        <v>406</v>
      </c>
      <c r="B244" s="1" t="s">
        <v>407</v>
      </c>
      <c r="C244" s="1" t="s">
        <v>12</v>
      </c>
      <c r="D244" s="1" t="s">
        <v>26</v>
      </c>
      <c r="E244" s="1">
        <v>2019</v>
      </c>
      <c r="F244" s="1" t="s">
        <v>14</v>
      </c>
      <c r="G244" s="1" t="s">
        <v>382</v>
      </c>
      <c r="H244" s="1" t="s">
        <v>22</v>
      </c>
    </row>
    <row r="245" spans="1:10">
      <c r="A245" t="s">
        <v>408</v>
      </c>
      <c r="B245" s="1" t="s">
        <v>409</v>
      </c>
      <c r="C245" s="1" t="s">
        <v>12</v>
      </c>
      <c r="D245" s="1" t="s">
        <v>37</v>
      </c>
      <c r="E245" s="1">
        <v>2017</v>
      </c>
      <c r="F245" s="1" t="s">
        <v>14</v>
      </c>
      <c r="G245" s="1" t="s">
        <v>382</v>
      </c>
      <c r="H245" s="1" t="s">
        <v>16</v>
      </c>
      <c r="I245">
        <v>67</v>
      </c>
      <c r="J245">
        <v>9</v>
      </c>
    </row>
    <row r="246" spans="1:10">
      <c r="A246" t="s">
        <v>410</v>
      </c>
      <c r="B246" s="1" t="s">
        <v>411</v>
      </c>
      <c r="C246" s="1" t="s">
        <v>25</v>
      </c>
      <c r="D246" s="1" t="s">
        <v>37</v>
      </c>
      <c r="E246" s="1">
        <v>2019</v>
      </c>
      <c r="F246" s="1" t="s">
        <v>14</v>
      </c>
      <c r="G246" s="1" t="s">
        <v>412</v>
      </c>
      <c r="H246" s="1" t="s">
        <v>16</v>
      </c>
      <c r="I246">
        <v>60</v>
      </c>
      <c r="J246">
        <v>6</v>
      </c>
    </row>
    <row r="247" spans="1:10" hidden="1">
      <c r="A247" t="s">
        <v>413</v>
      </c>
      <c r="B247" s="1" t="s">
        <v>411</v>
      </c>
      <c r="C247" s="1" t="s">
        <v>25</v>
      </c>
      <c r="D247" s="1" t="s">
        <v>37</v>
      </c>
      <c r="E247" s="1">
        <v>2021</v>
      </c>
      <c r="F247" s="1" t="s">
        <v>53</v>
      </c>
      <c r="G247" s="1" t="s">
        <v>414</v>
      </c>
      <c r="H247" s="1" t="s">
        <v>22</v>
      </c>
    </row>
    <row r="248" spans="1:10">
      <c r="A248" t="s">
        <v>415</v>
      </c>
      <c r="B248" s="1" t="s">
        <v>416</v>
      </c>
      <c r="C248" s="1" t="s">
        <v>12</v>
      </c>
      <c r="D248" s="1" t="s">
        <v>37</v>
      </c>
      <c r="E248" s="1">
        <v>2020</v>
      </c>
      <c r="F248" s="1" t="s">
        <v>14</v>
      </c>
      <c r="G248" s="1" t="s">
        <v>414</v>
      </c>
      <c r="H248" s="1" t="s">
        <v>16</v>
      </c>
      <c r="I248">
        <v>69</v>
      </c>
      <c r="J248">
        <v>15</v>
      </c>
    </row>
    <row r="249" spans="1:10">
      <c r="A249" t="s">
        <v>417</v>
      </c>
      <c r="B249" s="1" t="s">
        <v>418</v>
      </c>
      <c r="C249" s="1" t="s">
        <v>25</v>
      </c>
      <c r="D249" s="1" t="s">
        <v>37</v>
      </c>
      <c r="E249" s="1">
        <v>2021</v>
      </c>
      <c r="F249" s="1" t="s">
        <v>14</v>
      </c>
      <c r="G249" s="1" t="s">
        <v>414</v>
      </c>
      <c r="H249" s="1" t="s">
        <v>16</v>
      </c>
      <c r="I249">
        <v>24</v>
      </c>
      <c r="J249">
        <v>3</v>
      </c>
    </row>
    <row r="250" spans="1:10" hidden="1">
      <c r="A250" t="s">
        <v>419</v>
      </c>
      <c r="B250" s="1" t="s">
        <v>420</v>
      </c>
      <c r="C250" s="1" t="s">
        <v>25</v>
      </c>
      <c r="D250" s="1" t="s">
        <v>37</v>
      </c>
      <c r="E250" s="1">
        <v>2018</v>
      </c>
      <c r="F250" s="1" t="s">
        <v>14</v>
      </c>
      <c r="G250" s="1" t="s">
        <v>414</v>
      </c>
      <c r="H250" s="1" t="s">
        <v>22</v>
      </c>
    </row>
    <row r="251" spans="1:10">
      <c r="A251" t="s">
        <v>421</v>
      </c>
      <c r="B251" s="1" t="s">
        <v>422</v>
      </c>
      <c r="C251" s="1" t="s">
        <v>25</v>
      </c>
      <c r="D251" s="1" t="s">
        <v>64</v>
      </c>
      <c r="E251" s="1">
        <v>2021</v>
      </c>
      <c r="F251" s="1" t="s">
        <v>14</v>
      </c>
      <c r="G251" s="1" t="s">
        <v>414</v>
      </c>
      <c r="H251" s="1" t="s">
        <v>16</v>
      </c>
      <c r="I251">
        <v>81</v>
      </c>
      <c r="J251">
        <v>20</v>
      </c>
    </row>
    <row r="252" spans="1:10">
      <c r="A252" t="s">
        <v>423</v>
      </c>
      <c r="B252" s="1" t="s">
        <v>422</v>
      </c>
      <c r="C252" s="1" t="s">
        <v>12</v>
      </c>
      <c r="D252" s="1" t="s">
        <v>37</v>
      </c>
      <c r="E252" s="1">
        <v>2021</v>
      </c>
      <c r="F252" s="1" t="s">
        <v>14</v>
      </c>
      <c r="G252" s="1" t="s">
        <v>424</v>
      </c>
      <c r="H252" s="1" t="s">
        <v>16</v>
      </c>
      <c r="I252">
        <v>38</v>
      </c>
      <c r="J252">
        <v>11</v>
      </c>
    </row>
    <row r="253" spans="1:10" hidden="1">
      <c r="A253" t="s">
        <v>423</v>
      </c>
      <c r="B253" s="1" t="s">
        <v>425</v>
      </c>
      <c r="C253" s="1" t="s">
        <v>12</v>
      </c>
      <c r="D253" s="1" t="s">
        <v>30</v>
      </c>
      <c r="E253" s="1">
        <v>2019</v>
      </c>
      <c r="F253" s="1" t="s">
        <v>53</v>
      </c>
      <c r="G253" s="1" t="s">
        <v>426</v>
      </c>
      <c r="H253" s="1" t="s">
        <v>22</v>
      </c>
    </row>
    <row r="254" spans="1:10">
      <c r="A254" t="s">
        <v>427</v>
      </c>
      <c r="B254" s="1" t="s">
        <v>425</v>
      </c>
      <c r="C254" s="1" t="s">
        <v>25</v>
      </c>
      <c r="D254" s="1" t="s">
        <v>37</v>
      </c>
      <c r="E254" s="1">
        <v>2021</v>
      </c>
      <c r="F254" s="1" t="s">
        <v>14</v>
      </c>
      <c r="G254" s="1" t="s">
        <v>426</v>
      </c>
      <c r="H254" s="1" t="s">
        <v>16</v>
      </c>
      <c r="I254">
        <v>37</v>
      </c>
      <c r="J254">
        <v>13</v>
      </c>
    </row>
    <row r="255" spans="1:10">
      <c r="A255" t="s">
        <v>428</v>
      </c>
      <c r="B255" s="1" t="s">
        <v>425</v>
      </c>
      <c r="C255" s="1" t="s">
        <v>25</v>
      </c>
      <c r="D255" s="1" t="s">
        <v>26</v>
      </c>
      <c r="E255" s="1">
        <v>2016</v>
      </c>
      <c r="F255" s="1" t="s">
        <v>14</v>
      </c>
      <c r="G255" s="1" t="s">
        <v>429</v>
      </c>
      <c r="H255" s="1" t="s">
        <v>16</v>
      </c>
      <c r="I255">
        <v>60</v>
      </c>
      <c r="J255">
        <v>3</v>
      </c>
    </row>
    <row r="256" spans="1:10" hidden="1">
      <c r="A256" t="s">
        <v>430</v>
      </c>
      <c r="B256" s="1" t="s">
        <v>425</v>
      </c>
      <c r="C256" s="1" t="s">
        <v>25</v>
      </c>
      <c r="D256" s="1" t="s">
        <v>37</v>
      </c>
      <c r="E256" s="1">
        <v>2021</v>
      </c>
      <c r="F256" s="1" t="s">
        <v>14</v>
      </c>
      <c r="G256" s="1" t="s">
        <v>426</v>
      </c>
      <c r="H256" s="1" t="s">
        <v>22</v>
      </c>
    </row>
    <row r="257" spans="1:10">
      <c r="A257" t="s">
        <v>431</v>
      </c>
      <c r="B257" s="1" t="s">
        <v>425</v>
      </c>
      <c r="C257" s="1" t="s">
        <v>12</v>
      </c>
      <c r="D257" s="1" t="s">
        <v>37</v>
      </c>
      <c r="E257" s="1">
        <v>2021</v>
      </c>
      <c r="F257" s="1" t="s">
        <v>14</v>
      </c>
      <c r="G257" s="1" t="s">
        <v>426</v>
      </c>
      <c r="H257" s="1" t="s">
        <v>16</v>
      </c>
      <c r="I257">
        <v>37</v>
      </c>
      <c r="J257">
        <v>7</v>
      </c>
    </row>
    <row r="258" spans="1:10">
      <c r="A258" t="s">
        <v>432</v>
      </c>
      <c r="B258" s="1" t="s">
        <v>425</v>
      </c>
      <c r="C258" s="1" t="s">
        <v>12</v>
      </c>
      <c r="D258" s="1" t="s">
        <v>37</v>
      </c>
      <c r="E258" s="1">
        <v>2021</v>
      </c>
      <c r="F258" s="1" t="s">
        <v>14</v>
      </c>
      <c r="G258" s="1" t="s">
        <v>426</v>
      </c>
      <c r="H258" s="1" t="s">
        <v>16</v>
      </c>
      <c r="I258">
        <v>90</v>
      </c>
      <c r="J258">
        <v>14</v>
      </c>
    </row>
    <row r="259" spans="1:10" hidden="1">
      <c r="A259" t="s">
        <v>432</v>
      </c>
      <c r="B259" s="1" t="s">
        <v>425</v>
      </c>
      <c r="C259" s="1" t="s">
        <v>12</v>
      </c>
      <c r="D259" s="1" t="s">
        <v>37</v>
      </c>
      <c r="E259" s="1">
        <v>2021</v>
      </c>
      <c r="F259" s="1" t="s">
        <v>14</v>
      </c>
      <c r="G259" s="1" t="s">
        <v>426</v>
      </c>
      <c r="H259" s="1" t="s">
        <v>22</v>
      </c>
    </row>
    <row r="260" spans="1:10">
      <c r="A260" t="s">
        <v>432</v>
      </c>
      <c r="B260" s="1" t="s">
        <v>425</v>
      </c>
      <c r="C260" s="1" t="s">
        <v>12</v>
      </c>
      <c r="D260" s="1" t="s">
        <v>37</v>
      </c>
      <c r="E260" s="1">
        <v>2021</v>
      </c>
      <c r="F260" s="1" t="s">
        <v>14</v>
      </c>
      <c r="G260" s="1" t="s">
        <v>426</v>
      </c>
      <c r="H260" s="1" t="s">
        <v>16</v>
      </c>
      <c r="I260">
        <v>54</v>
      </c>
      <c r="J260">
        <v>19</v>
      </c>
    </row>
    <row r="261" spans="1:10">
      <c r="A261" t="s">
        <v>433</v>
      </c>
      <c r="B261" s="1" t="s">
        <v>425</v>
      </c>
      <c r="C261" s="1" t="s">
        <v>12</v>
      </c>
      <c r="D261" s="1" t="s">
        <v>37</v>
      </c>
      <c r="E261" s="1">
        <v>2021</v>
      </c>
      <c r="F261" s="1" t="s">
        <v>14</v>
      </c>
      <c r="G261" s="1" t="s">
        <v>426</v>
      </c>
      <c r="H261" s="1" t="s">
        <v>16</v>
      </c>
      <c r="I261">
        <v>35</v>
      </c>
      <c r="J261">
        <v>7</v>
      </c>
    </row>
    <row r="262" spans="1:10" hidden="1">
      <c r="A262" t="s">
        <v>434</v>
      </c>
      <c r="B262" s="1" t="s">
        <v>435</v>
      </c>
      <c r="C262" s="1" t="s">
        <v>12</v>
      </c>
      <c r="D262" s="1" t="s">
        <v>37</v>
      </c>
      <c r="E262" s="1">
        <v>2020</v>
      </c>
      <c r="F262" s="1" t="s">
        <v>14</v>
      </c>
      <c r="G262" s="1" t="s">
        <v>424</v>
      </c>
      <c r="H262" s="1" t="s">
        <v>22</v>
      </c>
    </row>
    <row r="263" spans="1:10">
      <c r="A263" t="s">
        <v>436</v>
      </c>
      <c r="B263" s="1" t="s">
        <v>435</v>
      </c>
      <c r="C263" s="1" t="s">
        <v>12</v>
      </c>
      <c r="D263" s="1" t="s">
        <v>37</v>
      </c>
      <c r="E263" s="1">
        <v>2020</v>
      </c>
      <c r="F263" s="1" t="s">
        <v>14</v>
      </c>
      <c r="G263" s="1" t="s">
        <v>426</v>
      </c>
      <c r="H263" s="1" t="s">
        <v>16</v>
      </c>
      <c r="I263">
        <v>54</v>
      </c>
      <c r="J263">
        <v>7</v>
      </c>
    </row>
    <row r="264" spans="1:10">
      <c r="A264" t="s">
        <v>437</v>
      </c>
      <c r="B264" s="1" t="s">
        <v>435</v>
      </c>
      <c r="C264" s="1" t="s">
        <v>12</v>
      </c>
      <c r="D264" s="1" t="s">
        <v>37</v>
      </c>
      <c r="E264" s="1">
        <v>2020</v>
      </c>
      <c r="F264" s="1" t="s">
        <v>14</v>
      </c>
      <c r="G264" s="1" t="s">
        <v>438</v>
      </c>
      <c r="H264" s="1" t="s">
        <v>16</v>
      </c>
      <c r="I264">
        <v>76</v>
      </c>
      <c r="J264">
        <v>15</v>
      </c>
    </row>
    <row r="265" spans="1:10" hidden="1">
      <c r="A265" t="s">
        <v>439</v>
      </c>
      <c r="B265" s="1" t="s">
        <v>435</v>
      </c>
      <c r="C265" s="1" t="s">
        <v>12</v>
      </c>
      <c r="D265" s="1" t="s">
        <v>37</v>
      </c>
      <c r="E265" s="1">
        <v>2021</v>
      </c>
      <c r="F265" s="1" t="s">
        <v>14</v>
      </c>
      <c r="G265" s="1" t="s">
        <v>440</v>
      </c>
      <c r="H265" s="1" t="s">
        <v>22</v>
      </c>
    </row>
    <row r="266" spans="1:10">
      <c r="A266" t="s">
        <v>439</v>
      </c>
      <c r="B266" s="1" t="s">
        <v>435</v>
      </c>
      <c r="C266" s="1" t="s">
        <v>12</v>
      </c>
      <c r="D266" s="1" t="s">
        <v>37</v>
      </c>
      <c r="E266" s="1">
        <v>2020</v>
      </c>
      <c r="F266" s="1" t="s">
        <v>14</v>
      </c>
      <c r="G266" s="1" t="s">
        <v>213</v>
      </c>
      <c r="H266" s="1" t="s">
        <v>16</v>
      </c>
      <c r="I266">
        <v>71</v>
      </c>
      <c r="J266">
        <v>9</v>
      </c>
    </row>
    <row r="267" spans="1:10">
      <c r="A267" t="s">
        <v>441</v>
      </c>
      <c r="B267" s="1" t="s">
        <v>435</v>
      </c>
      <c r="C267" s="1" t="s">
        <v>25</v>
      </c>
      <c r="D267" s="1" t="s">
        <v>37</v>
      </c>
      <c r="E267" s="1">
        <v>2021</v>
      </c>
      <c r="F267" s="1" t="s">
        <v>14</v>
      </c>
      <c r="G267" s="1" t="s">
        <v>442</v>
      </c>
      <c r="H267" s="1" t="s">
        <v>16</v>
      </c>
      <c r="I267">
        <v>48</v>
      </c>
      <c r="J267">
        <v>11</v>
      </c>
    </row>
    <row r="268" spans="1:10" hidden="1">
      <c r="A268" t="s">
        <v>441</v>
      </c>
      <c r="B268" s="1" t="s">
        <v>435</v>
      </c>
      <c r="C268" s="1" t="s">
        <v>12</v>
      </c>
      <c r="D268" s="1" t="s">
        <v>37</v>
      </c>
      <c r="E268" s="1">
        <v>2021</v>
      </c>
      <c r="F268" s="1" t="s">
        <v>14</v>
      </c>
      <c r="G268" s="1" t="s">
        <v>443</v>
      </c>
      <c r="H268" s="1" t="s">
        <v>22</v>
      </c>
    </row>
    <row r="269" spans="1:10">
      <c r="A269" t="s">
        <v>441</v>
      </c>
      <c r="B269" s="1" t="s">
        <v>435</v>
      </c>
      <c r="C269" s="1" t="s">
        <v>12</v>
      </c>
      <c r="D269" s="1" t="s">
        <v>37</v>
      </c>
      <c r="E269" s="1">
        <v>2020</v>
      </c>
      <c r="F269" s="1" t="s">
        <v>14</v>
      </c>
      <c r="G269" s="1" t="s">
        <v>443</v>
      </c>
      <c r="H269" s="1" t="s">
        <v>16</v>
      </c>
      <c r="I269">
        <v>55</v>
      </c>
      <c r="J269">
        <v>13</v>
      </c>
    </row>
    <row r="270" spans="1:10">
      <c r="A270" t="s">
        <v>444</v>
      </c>
      <c r="B270" s="1" t="s">
        <v>435</v>
      </c>
      <c r="C270" s="1" t="s">
        <v>12</v>
      </c>
      <c r="D270" s="1" t="s">
        <v>37</v>
      </c>
      <c r="E270" s="1">
        <v>2020</v>
      </c>
      <c r="F270" s="1" t="s">
        <v>14</v>
      </c>
      <c r="G270" s="1" t="s">
        <v>443</v>
      </c>
      <c r="H270" s="1" t="s">
        <v>16</v>
      </c>
      <c r="I270">
        <v>72</v>
      </c>
      <c r="J270">
        <v>10</v>
      </c>
    </row>
    <row r="271" spans="1:10" hidden="1">
      <c r="A271" t="s">
        <v>439</v>
      </c>
      <c r="B271" s="1" t="s">
        <v>435</v>
      </c>
      <c r="C271" s="1" t="s">
        <v>12</v>
      </c>
      <c r="D271" s="1" t="s">
        <v>37</v>
      </c>
      <c r="E271" s="1">
        <v>2021</v>
      </c>
      <c r="F271" s="1" t="s">
        <v>14</v>
      </c>
      <c r="G271" s="2" t="s">
        <v>443</v>
      </c>
      <c r="H271" s="1" t="s">
        <v>22</v>
      </c>
    </row>
    <row r="272" spans="1:10">
      <c r="A272" t="s">
        <v>439</v>
      </c>
      <c r="B272" s="1" t="s">
        <v>435</v>
      </c>
      <c r="C272" s="1" t="s">
        <v>12</v>
      </c>
      <c r="D272" s="1" t="s">
        <v>37</v>
      </c>
      <c r="E272" s="1">
        <v>2021</v>
      </c>
      <c r="F272" s="1" t="s">
        <v>14</v>
      </c>
      <c r="G272" s="2" t="s">
        <v>443</v>
      </c>
      <c r="H272" s="1" t="s">
        <v>16</v>
      </c>
      <c r="I272">
        <v>94</v>
      </c>
      <c r="J272">
        <v>7</v>
      </c>
    </row>
    <row r="273" spans="1:10">
      <c r="A273" t="s">
        <v>439</v>
      </c>
      <c r="B273" s="1" t="s">
        <v>435</v>
      </c>
      <c r="C273" s="1" t="s">
        <v>12</v>
      </c>
      <c r="D273" s="1" t="s">
        <v>30</v>
      </c>
      <c r="E273" s="1">
        <v>2021</v>
      </c>
      <c r="F273" s="1" t="s">
        <v>14</v>
      </c>
      <c r="G273" s="1" t="s">
        <v>443</v>
      </c>
      <c r="H273" s="1" t="s">
        <v>16</v>
      </c>
      <c r="I273">
        <v>69</v>
      </c>
      <c r="J273">
        <v>4</v>
      </c>
    </row>
    <row r="274" spans="1:10" hidden="1">
      <c r="A274" t="s">
        <v>445</v>
      </c>
      <c r="B274" s="1" t="s">
        <v>435</v>
      </c>
      <c r="C274" s="1" t="s">
        <v>25</v>
      </c>
      <c r="D274" s="1" t="s">
        <v>64</v>
      </c>
      <c r="E274" s="1">
        <v>2020</v>
      </c>
      <c r="F274" s="1" t="s">
        <v>14</v>
      </c>
      <c r="G274" s="1" t="s">
        <v>443</v>
      </c>
      <c r="H274" s="1" t="s">
        <v>22</v>
      </c>
    </row>
    <row r="275" spans="1:10">
      <c r="A275" t="s">
        <v>446</v>
      </c>
      <c r="B275" s="1" t="s">
        <v>435</v>
      </c>
      <c r="C275" s="1" t="s">
        <v>12</v>
      </c>
      <c r="D275" s="1" t="s">
        <v>37</v>
      </c>
      <c r="E275" s="1">
        <v>2021</v>
      </c>
      <c r="F275" s="1" t="s">
        <v>14</v>
      </c>
      <c r="G275" s="1" t="s">
        <v>443</v>
      </c>
      <c r="H275" s="1" t="s">
        <v>16</v>
      </c>
      <c r="I275">
        <v>29</v>
      </c>
      <c r="J275">
        <v>3</v>
      </c>
    </row>
    <row r="276" spans="1:10">
      <c r="A276" t="s">
        <v>447</v>
      </c>
      <c r="B276" s="1" t="s">
        <v>435</v>
      </c>
      <c r="C276" s="1" t="s">
        <v>12</v>
      </c>
      <c r="D276" s="1" t="s">
        <v>37</v>
      </c>
      <c r="E276" s="1">
        <v>2020</v>
      </c>
      <c r="F276" s="1" t="s">
        <v>14</v>
      </c>
      <c r="G276" s="2" t="s">
        <v>443</v>
      </c>
      <c r="H276" s="1" t="s">
        <v>16</v>
      </c>
      <c r="I276">
        <v>87</v>
      </c>
      <c r="J276">
        <v>13</v>
      </c>
    </row>
    <row r="277" spans="1:10" hidden="1">
      <c r="A277" t="s">
        <v>448</v>
      </c>
      <c r="B277" s="1" t="s">
        <v>435</v>
      </c>
      <c r="C277" s="1" t="s">
        <v>12</v>
      </c>
      <c r="D277" s="1" t="s">
        <v>37</v>
      </c>
      <c r="E277" s="1">
        <v>2021</v>
      </c>
      <c r="F277" s="1" t="s">
        <v>14</v>
      </c>
      <c r="G277" s="1" t="s">
        <v>443</v>
      </c>
      <c r="H277" s="1" t="s">
        <v>22</v>
      </c>
    </row>
    <row r="278" spans="1:10">
      <c r="A278" t="s">
        <v>449</v>
      </c>
      <c r="B278" s="1" t="s">
        <v>435</v>
      </c>
      <c r="C278" s="1" t="s">
        <v>25</v>
      </c>
      <c r="D278" s="1" t="s">
        <v>37</v>
      </c>
      <c r="E278" s="1">
        <v>2021</v>
      </c>
      <c r="F278" s="1" t="s">
        <v>14</v>
      </c>
      <c r="G278" s="1" t="s">
        <v>450</v>
      </c>
      <c r="H278" s="1" t="s">
        <v>16</v>
      </c>
      <c r="I278">
        <v>68</v>
      </c>
      <c r="J278">
        <v>1</v>
      </c>
    </row>
    <row r="279" spans="1:10">
      <c r="A279" t="s">
        <v>451</v>
      </c>
      <c r="B279" s="1" t="s">
        <v>435</v>
      </c>
      <c r="C279" s="1" t="s">
        <v>12</v>
      </c>
      <c r="D279" s="1" t="s">
        <v>37</v>
      </c>
      <c r="E279" s="1">
        <v>2021</v>
      </c>
      <c r="F279" s="1" t="s">
        <v>14</v>
      </c>
      <c r="G279" s="1" t="s">
        <v>450</v>
      </c>
      <c r="H279" s="1" t="s">
        <v>16</v>
      </c>
      <c r="I279">
        <v>92</v>
      </c>
      <c r="J279">
        <v>14</v>
      </c>
    </row>
    <row r="280" spans="1:10" hidden="1">
      <c r="A280" t="s">
        <v>451</v>
      </c>
      <c r="B280" s="1" t="s">
        <v>435</v>
      </c>
      <c r="C280" s="1" t="s">
        <v>25</v>
      </c>
      <c r="D280" s="1" t="s">
        <v>30</v>
      </c>
      <c r="E280" s="1">
        <v>2019</v>
      </c>
      <c r="F280" s="1" t="s">
        <v>14</v>
      </c>
      <c r="G280" s="1" t="s">
        <v>452</v>
      </c>
      <c r="H280" s="1" t="s">
        <v>22</v>
      </c>
    </row>
    <row r="281" spans="1:10">
      <c r="A281" t="s">
        <v>453</v>
      </c>
      <c r="B281" s="1" t="s">
        <v>435</v>
      </c>
      <c r="C281" s="1" t="s">
        <v>12</v>
      </c>
      <c r="D281" s="1" t="s">
        <v>37</v>
      </c>
      <c r="E281" s="1">
        <v>2021</v>
      </c>
      <c r="F281" s="1" t="s">
        <v>14</v>
      </c>
      <c r="G281" s="1" t="s">
        <v>454</v>
      </c>
      <c r="H281" s="1" t="s">
        <v>16</v>
      </c>
      <c r="I281">
        <v>51</v>
      </c>
      <c r="J281">
        <v>14</v>
      </c>
    </row>
    <row r="282" spans="1:10">
      <c r="A282" t="s">
        <v>455</v>
      </c>
      <c r="B282" s="1" t="s">
        <v>435</v>
      </c>
      <c r="C282" s="1" t="s">
        <v>25</v>
      </c>
      <c r="D282" s="1" t="s">
        <v>37</v>
      </c>
      <c r="E282" s="1">
        <v>2016</v>
      </c>
      <c r="F282" s="1" t="s">
        <v>14</v>
      </c>
      <c r="G282" s="1" t="s">
        <v>454</v>
      </c>
      <c r="H282" s="1" t="s">
        <v>16</v>
      </c>
      <c r="I282">
        <v>95</v>
      </c>
      <c r="J282">
        <v>15</v>
      </c>
    </row>
    <row r="283" spans="1:10" hidden="1">
      <c r="A283" t="s">
        <v>456</v>
      </c>
      <c r="B283" s="1" t="s">
        <v>435</v>
      </c>
      <c r="C283" s="1" t="s">
        <v>12</v>
      </c>
      <c r="D283" s="1" t="s">
        <v>30</v>
      </c>
      <c r="E283" s="1">
        <v>2020</v>
      </c>
      <c r="F283" s="1" t="s">
        <v>14</v>
      </c>
      <c r="G283" s="1" t="s">
        <v>457</v>
      </c>
      <c r="H283" s="1" t="s">
        <v>22</v>
      </c>
    </row>
    <row r="284" spans="1:10">
      <c r="A284" t="s">
        <v>458</v>
      </c>
      <c r="B284" s="1" t="s">
        <v>435</v>
      </c>
      <c r="C284" s="1" t="s">
        <v>12</v>
      </c>
      <c r="D284" s="1" t="s">
        <v>37</v>
      </c>
      <c r="E284" s="1">
        <v>2019</v>
      </c>
      <c r="F284" s="1" t="s">
        <v>14</v>
      </c>
      <c r="G284" s="1" t="s">
        <v>459</v>
      </c>
      <c r="H284" s="1" t="s">
        <v>16</v>
      </c>
      <c r="I284">
        <v>87</v>
      </c>
      <c r="J284">
        <v>19</v>
      </c>
    </row>
    <row r="285" spans="1:10">
      <c r="A285" t="s">
        <v>460</v>
      </c>
      <c r="B285" s="1" t="s">
        <v>435</v>
      </c>
      <c r="C285" s="1" t="s">
        <v>12</v>
      </c>
      <c r="D285" s="1" t="s">
        <v>37</v>
      </c>
      <c r="E285" s="1">
        <v>2016</v>
      </c>
      <c r="F285" s="1" t="s">
        <v>14</v>
      </c>
      <c r="G285" s="1" t="s">
        <v>461</v>
      </c>
      <c r="H285" s="1" t="s">
        <v>16</v>
      </c>
      <c r="I285">
        <v>95</v>
      </c>
      <c r="J285">
        <v>18</v>
      </c>
    </row>
    <row r="286" spans="1:10" hidden="1">
      <c r="A286" t="s">
        <v>462</v>
      </c>
      <c r="B286" s="1" t="s">
        <v>435</v>
      </c>
      <c r="C286" s="1" t="s">
        <v>25</v>
      </c>
      <c r="D286" s="1" t="s">
        <v>37</v>
      </c>
      <c r="E286" s="1">
        <v>2021</v>
      </c>
      <c r="F286" s="1" t="s">
        <v>14</v>
      </c>
      <c r="G286" s="1" t="s">
        <v>463</v>
      </c>
      <c r="H286" s="1" t="s">
        <v>22</v>
      </c>
    </row>
    <row r="287" spans="1:10">
      <c r="A287" t="s">
        <v>464</v>
      </c>
      <c r="B287" s="1" t="s">
        <v>435</v>
      </c>
      <c r="C287" s="1" t="s">
        <v>12</v>
      </c>
      <c r="D287" s="1" t="s">
        <v>37</v>
      </c>
      <c r="E287" s="1">
        <v>2021</v>
      </c>
      <c r="F287" s="1" t="s">
        <v>14</v>
      </c>
      <c r="G287" s="1" t="s">
        <v>465</v>
      </c>
      <c r="H287" s="1" t="s">
        <v>16</v>
      </c>
      <c r="I287">
        <v>82</v>
      </c>
      <c r="J287">
        <v>11</v>
      </c>
    </row>
    <row r="288" spans="1:10">
      <c r="A288" t="s">
        <v>466</v>
      </c>
      <c r="B288" s="1" t="s">
        <v>435</v>
      </c>
      <c r="C288" s="1" t="s">
        <v>12</v>
      </c>
      <c r="D288" s="1" t="s">
        <v>37</v>
      </c>
      <c r="E288" s="1">
        <v>2021</v>
      </c>
      <c r="F288" s="1" t="s">
        <v>241</v>
      </c>
      <c r="G288" s="1" t="s">
        <v>465</v>
      </c>
      <c r="H288" s="1" t="s">
        <v>16</v>
      </c>
      <c r="I288">
        <v>81</v>
      </c>
      <c r="J288">
        <v>7</v>
      </c>
    </row>
    <row r="289" spans="1:10" hidden="1">
      <c r="A289" t="s">
        <v>467</v>
      </c>
      <c r="B289" s="1" t="s">
        <v>468</v>
      </c>
      <c r="C289" s="1" t="s">
        <v>12</v>
      </c>
      <c r="D289" s="1" t="s">
        <v>37</v>
      </c>
      <c r="E289" s="1">
        <v>2019</v>
      </c>
      <c r="F289" s="1" t="s">
        <v>14</v>
      </c>
      <c r="G289" s="1" t="s">
        <v>469</v>
      </c>
      <c r="H289" s="1" t="s">
        <v>22</v>
      </c>
    </row>
    <row r="290" spans="1:10">
      <c r="A290" t="s">
        <v>470</v>
      </c>
      <c r="B290" s="1" t="s">
        <v>435</v>
      </c>
      <c r="C290" s="1" t="s">
        <v>12</v>
      </c>
      <c r="D290" s="1" t="s">
        <v>37</v>
      </c>
      <c r="E290" s="1">
        <v>2020</v>
      </c>
      <c r="F290" s="1" t="s">
        <v>14</v>
      </c>
      <c r="G290" s="1" t="s">
        <v>471</v>
      </c>
      <c r="H290" s="1" t="s">
        <v>16</v>
      </c>
      <c r="I290">
        <v>99</v>
      </c>
      <c r="J290">
        <v>15</v>
      </c>
    </row>
    <row r="291" spans="1:10">
      <c r="A291" t="s">
        <v>472</v>
      </c>
      <c r="B291" s="1" t="s">
        <v>473</v>
      </c>
      <c r="C291" s="1" t="s">
        <v>12</v>
      </c>
      <c r="D291" s="1" t="s">
        <v>37</v>
      </c>
      <c r="E291" s="1">
        <v>2021</v>
      </c>
      <c r="F291" s="1" t="s">
        <v>14</v>
      </c>
      <c r="G291" s="1" t="s">
        <v>474</v>
      </c>
      <c r="H291" s="1" t="s">
        <v>16</v>
      </c>
      <c r="I291">
        <v>74</v>
      </c>
      <c r="J291">
        <v>15</v>
      </c>
    </row>
    <row r="292" spans="1:10" hidden="1">
      <c r="A292" t="s">
        <v>472</v>
      </c>
      <c r="B292" s="1" t="s">
        <v>435</v>
      </c>
      <c r="C292" s="1" t="s">
        <v>12</v>
      </c>
      <c r="D292" s="1" t="s">
        <v>26</v>
      </c>
      <c r="E292" s="1">
        <v>2021</v>
      </c>
      <c r="F292" s="1" t="s">
        <v>14</v>
      </c>
      <c r="G292" s="1" t="s">
        <v>475</v>
      </c>
      <c r="H292" s="1" t="s">
        <v>22</v>
      </c>
    </row>
    <row r="293" spans="1:10">
      <c r="A293" t="s">
        <v>472</v>
      </c>
      <c r="B293" s="1" t="s">
        <v>435</v>
      </c>
      <c r="C293" s="1" t="s">
        <v>25</v>
      </c>
      <c r="D293" s="1" t="s">
        <v>26</v>
      </c>
      <c r="E293" s="1">
        <v>2021</v>
      </c>
      <c r="F293" s="1" t="s">
        <v>14</v>
      </c>
      <c r="G293" s="1" t="s">
        <v>476</v>
      </c>
      <c r="H293" s="1" t="s">
        <v>16</v>
      </c>
      <c r="I293">
        <v>21</v>
      </c>
      <c r="J293">
        <v>12</v>
      </c>
    </row>
    <row r="294" spans="1:10">
      <c r="A294" t="s">
        <v>477</v>
      </c>
      <c r="B294" s="1" t="s">
        <v>478</v>
      </c>
      <c r="C294" s="1" t="s">
        <v>25</v>
      </c>
      <c r="D294" s="1" t="s">
        <v>37</v>
      </c>
      <c r="E294" s="1">
        <v>2021</v>
      </c>
      <c r="F294" s="1" t="s">
        <v>14</v>
      </c>
      <c r="G294" s="1" t="s">
        <v>479</v>
      </c>
      <c r="H294" s="1" t="s">
        <v>16</v>
      </c>
      <c r="I294">
        <v>88</v>
      </c>
      <c r="J294">
        <v>6</v>
      </c>
    </row>
    <row r="295" spans="1:10" hidden="1">
      <c r="A295" t="s">
        <v>480</v>
      </c>
      <c r="B295" s="1" t="s">
        <v>481</v>
      </c>
      <c r="C295" s="1" t="s">
        <v>12</v>
      </c>
      <c r="D295" s="1" t="s">
        <v>37</v>
      </c>
      <c r="E295" s="1">
        <v>2021</v>
      </c>
      <c r="F295" s="1" t="s">
        <v>14</v>
      </c>
      <c r="G295" s="1" t="s">
        <v>482</v>
      </c>
      <c r="H295" s="1" t="s">
        <v>22</v>
      </c>
    </row>
    <row r="296" spans="1:10">
      <c r="A296" t="s">
        <v>483</v>
      </c>
      <c r="B296" s="1" t="s">
        <v>484</v>
      </c>
      <c r="C296" s="1" t="s">
        <v>12</v>
      </c>
      <c r="D296" s="1" t="s">
        <v>37</v>
      </c>
      <c r="E296" s="1">
        <v>2020</v>
      </c>
      <c r="F296" s="1" t="s">
        <v>14</v>
      </c>
      <c r="G296" s="1" t="s">
        <v>485</v>
      </c>
      <c r="H296" s="1" t="s">
        <v>16</v>
      </c>
      <c r="I296">
        <v>78</v>
      </c>
      <c r="J296">
        <v>3</v>
      </c>
    </row>
    <row r="297" spans="1:10">
      <c r="A297" t="s">
        <v>483</v>
      </c>
      <c r="B297" s="1" t="s">
        <v>486</v>
      </c>
      <c r="C297" s="1" t="s">
        <v>12</v>
      </c>
      <c r="D297" s="1" t="s">
        <v>37</v>
      </c>
      <c r="E297" s="1">
        <v>2021</v>
      </c>
      <c r="F297" s="1" t="s">
        <v>14</v>
      </c>
      <c r="G297" s="1" t="s">
        <v>485</v>
      </c>
      <c r="H297" s="1" t="s">
        <v>16</v>
      </c>
      <c r="I297">
        <v>97</v>
      </c>
      <c r="J297">
        <v>5</v>
      </c>
    </row>
    <row r="298" spans="1:10" hidden="1">
      <c r="A298" t="s">
        <v>487</v>
      </c>
      <c r="B298" s="1" t="s">
        <v>488</v>
      </c>
      <c r="C298" s="1" t="s">
        <v>25</v>
      </c>
      <c r="D298" s="1" t="s">
        <v>37</v>
      </c>
      <c r="E298" s="1">
        <v>2021</v>
      </c>
      <c r="F298" s="1" t="s">
        <v>14</v>
      </c>
      <c r="G298" s="1" t="s">
        <v>489</v>
      </c>
      <c r="H298" s="1" t="s">
        <v>22</v>
      </c>
    </row>
    <row r="299" spans="1:10">
      <c r="A299" t="s">
        <v>490</v>
      </c>
      <c r="B299" s="1" t="s">
        <v>491</v>
      </c>
      <c r="C299" s="1" t="s">
        <v>12</v>
      </c>
      <c r="D299" s="1" t="s">
        <v>37</v>
      </c>
      <c r="E299" s="1">
        <v>2021</v>
      </c>
      <c r="F299" s="1" t="s">
        <v>14</v>
      </c>
      <c r="G299" s="1" t="s">
        <v>492</v>
      </c>
      <c r="H299" s="1" t="s">
        <v>16</v>
      </c>
      <c r="I299">
        <v>78</v>
      </c>
      <c r="J299">
        <v>5</v>
      </c>
    </row>
    <row r="300" spans="1:10">
      <c r="A300" t="s">
        <v>493</v>
      </c>
      <c r="B300" s="1" t="s">
        <v>494</v>
      </c>
      <c r="C300" s="1" t="s">
        <v>25</v>
      </c>
      <c r="D300" s="1" t="s">
        <v>64</v>
      </c>
      <c r="E300" s="1">
        <v>2018</v>
      </c>
      <c r="F300" s="1" t="s">
        <v>14</v>
      </c>
      <c r="G300" s="1" t="s">
        <v>495</v>
      </c>
      <c r="H300" s="1" t="s">
        <v>16</v>
      </c>
      <c r="I300">
        <v>40</v>
      </c>
      <c r="J300">
        <v>19</v>
      </c>
    </row>
    <row r="301" spans="1:10" hidden="1">
      <c r="A301" t="s">
        <v>496</v>
      </c>
      <c r="B301" s="1" t="s">
        <v>494</v>
      </c>
      <c r="C301" s="1" t="s">
        <v>12</v>
      </c>
      <c r="D301" s="1" t="s">
        <v>37</v>
      </c>
      <c r="E301" s="1">
        <v>2018</v>
      </c>
      <c r="F301" s="1" t="s">
        <v>53</v>
      </c>
      <c r="G301" s="1" t="s">
        <v>497</v>
      </c>
      <c r="H301" s="1" t="s">
        <v>22</v>
      </c>
    </row>
    <row r="302" spans="1:10">
      <c r="A302" t="s">
        <v>498</v>
      </c>
      <c r="B302" s="1" t="s">
        <v>499</v>
      </c>
      <c r="C302" s="1" t="s">
        <v>12</v>
      </c>
      <c r="D302" s="1" t="s">
        <v>37</v>
      </c>
      <c r="E302" s="1">
        <v>2021</v>
      </c>
      <c r="F302" s="1" t="s">
        <v>14</v>
      </c>
      <c r="G302" s="1" t="s">
        <v>500</v>
      </c>
      <c r="H302" s="1" t="s">
        <v>16</v>
      </c>
      <c r="I302">
        <v>52</v>
      </c>
      <c r="J302">
        <v>1</v>
      </c>
    </row>
    <row r="303" spans="1:10">
      <c r="A303" t="s">
        <v>501</v>
      </c>
      <c r="B303" s="1" t="s">
        <v>499</v>
      </c>
      <c r="C303" s="1" t="s">
        <v>12</v>
      </c>
      <c r="D303" s="1" t="s">
        <v>37</v>
      </c>
      <c r="E303" s="1">
        <v>2022</v>
      </c>
      <c r="F303" s="1" t="s">
        <v>14</v>
      </c>
      <c r="G303" s="2" t="s">
        <v>500</v>
      </c>
      <c r="H303" s="1" t="s">
        <v>16</v>
      </c>
      <c r="I303">
        <v>36</v>
      </c>
      <c r="J303">
        <v>13</v>
      </c>
    </row>
    <row r="304" spans="1:10" hidden="1">
      <c r="A304" t="s">
        <v>502</v>
      </c>
      <c r="B304" s="1" t="s">
        <v>503</v>
      </c>
      <c r="C304" s="1" t="s">
        <v>25</v>
      </c>
      <c r="D304" s="1" t="s">
        <v>37</v>
      </c>
      <c r="E304" s="1">
        <v>2022</v>
      </c>
      <c r="F304" s="1" t="s">
        <v>14</v>
      </c>
      <c r="G304" s="2" t="s">
        <v>500</v>
      </c>
      <c r="H304" s="1" t="s">
        <v>22</v>
      </c>
    </row>
    <row r="305" spans="1:10">
      <c r="A305" t="s">
        <v>504</v>
      </c>
      <c r="B305" s="1" t="s">
        <v>503</v>
      </c>
      <c r="C305" s="1" t="s">
        <v>12</v>
      </c>
      <c r="D305" s="1" t="s">
        <v>37</v>
      </c>
      <c r="E305" s="1">
        <v>2022</v>
      </c>
      <c r="F305" s="1" t="s">
        <v>14</v>
      </c>
      <c r="G305" s="2" t="s">
        <v>500</v>
      </c>
      <c r="H305" s="1" t="s">
        <v>16</v>
      </c>
      <c r="I305">
        <v>82</v>
      </c>
      <c r="J305">
        <v>11</v>
      </c>
    </row>
    <row r="306" spans="1:10">
      <c r="A306" t="s">
        <v>505</v>
      </c>
      <c r="B306" s="1" t="s">
        <v>506</v>
      </c>
      <c r="C306" s="1" t="s">
        <v>12</v>
      </c>
      <c r="D306" s="1" t="s">
        <v>37</v>
      </c>
      <c r="E306" s="1">
        <v>2022</v>
      </c>
      <c r="F306" s="1" t="s">
        <v>14</v>
      </c>
      <c r="G306" s="2" t="s">
        <v>500</v>
      </c>
      <c r="H306" s="1" t="s">
        <v>16</v>
      </c>
      <c r="I306">
        <v>95</v>
      </c>
      <c r="J306">
        <v>1</v>
      </c>
    </row>
    <row r="307" spans="1:10" hidden="1">
      <c r="A307" t="s">
        <v>507</v>
      </c>
      <c r="B307" s="1" t="s">
        <v>11</v>
      </c>
      <c r="C307" s="1" t="s">
        <v>12</v>
      </c>
      <c r="D307" s="1" t="s">
        <v>37</v>
      </c>
      <c r="E307" s="1">
        <v>2020</v>
      </c>
      <c r="F307" s="1" t="s">
        <v>14</v>
      </c>
      <c r="G307" s="2" t="s">
        <v>500</v>
      </c>
      <c r="H307" s="1" t="s">
        <v>22</v>
      </c>
    </row>
    <row r="308" spans="1:10">
      <c r="A308" t="s">
        <v>508</v>
      </c>
      <c r="B308" s="1" t="s">
        <v>509</v>
      </c>
      <c r="C308" s="1" t="s">
        <v>12</v>
      </c>
      <c r="D308" s="1" t="s">
        <v>37</v>
      </c>
      <c r="E308" s="1">
        <v>2019</v>
      </c>
      <c r="F308" s="1" t="s">
        <v>14</v>
      </c>
      <c r="G308" s="2" t="s">
        <v>500</v>
      </c>
      <c r="H308" s="1" t="s">
        <v>16</v>
      </c>
      <c r="I308">
        <v>98</v>
      </c>
      <c r="J308">
        <v>3</v>
      </c>
    </row>
    <row r="309" spans="1:10">
      <c r="A309" t="s">
        <v>510</v>
      </c>
      <c r="B309" s="1" t="s">
        <v>511</v>
      </c>
      <c r="C309" s="1" t="s">
        <v>12</v>
      </c>
      <c r="D309" s="1" t="s">
        <v>37</v>
      </c>
      <c r="E309" s="1">
        <v>2020</v>
      </c>
      <c r="F309" s="1" t="s">
        <v>14</v>
      </c>
      <c r="G309" s="2" t="s">
        <v>500</v>
      </c>
      <c r="H309" s="1" t="s">
        <v>16</v>
      </c>
      <c r="I309">
        <v>96</v>
      </c>
      <c r="J309">
        <v>19</v>
      </c>
    </row>
    <row r="310" spans="1:10" hidden="1">
      <c r="A310" t="s">
        <v>512</v>
      </c>
      <c r="B310" s="1" t="s">
        <v>511</v>
      </c>
      <c r="C310" s="1" t="s">
        <v>12</v>
      </c>
      <c r="D310" s="1" t="s">
        <v>37</v>
      </c>
      <c r="E310" s="1">
        <v>2021</v>
      </c>
      <c r="F310" s="1" t="s">
        <v>14</v>
      </c>
      <c r="G310" s="1" t="s">
        <v>500</v>
      </c>
      <c r="H310" s="1" t="s">
        <v>22</v>
      </c>
    </row>
    <row r="311" spans="1:10">
      <c r="A311" t="s">
        <v>512</v>
      </c>
      <c r="B311" s="1" t="s">
        <v>511</v>
      </c>
      <c r="C311" s="1" t="s">
        <v>12</v>
      </c>
      <c r="D311" s="1" t="s">
        <v>37</v>
      </c>
      <c r="E311" s="1">
        <v>2021</v>
      </c>
      <c r="F311" s="1" t="s">
        <v>14</v>
      </c>
      <c r="G311" s="1" t="s">
        <v>513</v>
      </c>
      <c r="H311" s="1" t="s">
        <v>16</v>
      </c>
      <c r="I311">
        <v>32</v>
      </c>
      <c r="J311">
        <v>12</v>
      </c>
    </row>
    <row r="312" spans="1:10">
      <c r="A312" t="s">
        <v>514</v>
      </c>
      <c r="B312" s="1" t="s">
        <v>511</v>
      </c>
      <c r="C312" s="1" t="s">
        <v>12</v>
      </c>
      <c r="D312" s="1" t="s">
        <v>37</v>
      </c>
      <c r="E312" s="1">
        <v>2021</v>
      </c>
      <c r="F312" s="1" t="s">
        <v>14</v>
      </c>
      <c r="G312" s="1" t="s">
        <v>500</v>
      </c>
      <c r="H312" s="1" t="s">
        <v>16</v>
      </c>
      <c r="I312">
        <v>61</v>
      </c>
      <c r="J312">
        <v>5</v>
      </c>
    </row>
    <row r="313" spans="1:10" hidden="1">
      <c r="A313" t="s">
        <v>512</v>
      </c>
      <c r="B313" s="1" t="s">
        <v>515</v>
      </c>
      <c r="C313" s="1" t="s">
        <v>25</v>
      </c>
      <c r="D313" s="1" t="s">
        <v>26</v>
      </c>
      <c r="E313" s="1">
        <v>2015</v>
      </c>
      <c r="F313" s="1" t="s">
        <v>14</v>
      </c>
      <c r="G313" s="1" t="s">
        <v>516</v>
      </c>
      <c r="H313" s="1" t="s">
        <v>22</v>
      </c>
    </row>
    <row r="314" spans="1:10">
      <c r="A314" t="s">
        <v>517</v>
      </c>
      <c r="B314" s="1" t="s">
        <v>515</v>
      </c>
      <c r="C314" s="1" t="s">
        <v>25</v>
      </c>
      <c r="D314" s="1" t="s">
        <v>64</v>
      </c>
      <c r="E314" s="1">
        <v>2018</v>
      </c>
      <c r="F314" s="1" t="s">
        <v>53</v>
      </c>
      <c r="G314" s="1" t="s">
        <v>518</v>
      </c>
      <c r="H314" s="1" t="s">
        <v>16</v>
      </c>
      <c r="I314">
        <v>80</v>
      </c>
      <c r="J314">
        <v>20</v>
      </c>
    </row>
    <row r="315" spans="1:10">
      <c r="A315" t="s">
        <v>519</v>
      </c>
      <c r="B315" s="1" t="s">
        <v>520</v>
      </c>
      <c r="C315" s="1" t="s">
        <v>12</v>
      </c>
      <c r="D315" s="1" t="s">
        <v>37</v>
      </c>
      <c r="E315" s="1">
        <v>2017</v>
      </c>
      <c r="F315" s="1" t="s">
        <v>14</v>
      </c>
      <c r="G315" s="1" t="s">
        <v>518</v>
      </c>
      <c r="H315" s="1" t="s">
        <v>16</v>
      </c>
      <c r="I315">
        <v>60</v>
      </c>
      <c r="J315">
        <v>13</v>
      </c>
    </row>
    <row r="316" spans="1:10" hidden="1">
      <c r="A316" t="s">
        <v>521</v>
      </c>
      <c r="B316" s="1" t="s">
        <v>522</v>
      </c>
      <c r="C316" s="1" t="s">
        <v>25</v>
      </c>
      <c r="D316" s="1" t="s">
        <v>30</v>
      </c>
      <c r="E316" s="1">
        <v>2015</v>
      </c>
      <c r="F316" s="1" t="s">
        <v>14</v>
      </c>
      <c r="G316" s="1" t="s">
        <v>518</v>
      </c>
      <c r="H316" s="1" t="s">
        <v>22</v>
      </c>
    </row>
    <row r="317" spans="1:10">
      <c r="A317" t="s">
        <v>521</v>
      </c>
      <c r="B317" s="1" t="s">
        <v>523</v>
      </c>
      <c r="C317" s="1" t="s">
        <v>12</v>
      </c>
      <c r="D317" s="1" t="s">
        <v>37</v>
      </c>
      <c r="E317" s="1">
        <v>2022</v>
      </c>
      <c r="F317" s="1" t="s">
        <v>14</v>
      </c>
      <c r="G317" s="1" t="s">
        <v>524</v>
      </c>
      <c r="H317" s="1" t="s">
        <v>16</v>
      </c>
      <c r="I317">
        <v>69</v>
      </c>
      <c r="J317">
        <v>2</v>
      </c>
    </row>
    <row r="318" spans="1:10">
      <c r="A318" t="s">
        <v>525</v>
      </c>
      <c r="B318" s="1" t="s">
        <v>526</v>
      </c>
      <c r="C318" s="1" t="s">
        <v>25</v>
      </c>
      <c r="D318" s="1" t="s">
        <v>64</v>
      </c>
      <c r="E318" s="1">
        <v>2019</v>
      </c>
      <c r="F318" s="1" t="s">
        <v>14</v>
      </c>
      <c r="G318" s="1" t="s">
        <v>527</v>
      </c>
      <c r="H318" s="1" t="s">
        <v>16</v>
      </c>
      <c r="I318">
        <v>95</v>
      </c>
      <c r="J318">
        <v>11</v>
      </c>
    </row>
    <row r="319" spans="1:10" hidden="1">
      <c r="A319" t="s">
        <v>525</v>
      </c>
      <c r="B319" s="1" t="s">
        <v>528</v>
      </c>
      <c r="C319" s="1" t="s">
        <v>25</v>
      </c>
      <c r="D319" s="1" t="s">
        <v>64</v>
      </c>
      <c r="E319" s="1">
        <v>2017</v>
      </c>
      <c r="F319" s="1" t="s">
        <v>14</v>
      </c>
      <c r="G319" s="1" t="s">
        <v>527</v>
      </c>
      <c r="H319" s="1" t="s">
        <v>22</v>
      </c>
    </row>
    <row r="320" spans="1:10">
      <c r="A320" t="s">
        <v>529</v>
      </c>
      <c r="B320" s="1" t="s">
        <v>530</v>
      </c>
      <c r="C320" s="1" t="s">
        <v>25</v>
      </c>
      <c r="D320" s="1" t="s">
        <v>37</v>
      </c>
      <c r="E320" s="1">
        <v>2021</v>
      </c>
      <c r="F320" s="1" t="s">
        <v>14</v>
      </c>
      <c r="G320" s="1" t="s">
        <v>527</v>
      </c>
      <c r="H320" s="1" t="s">
        <v>16</v>
      </c>
      <c r="I320">
        <v>66</v>
      </c>
      <c r="J320">
        <v>6</v>
      </c>
    </row>
    <row r="321" spans="1:10">
      <c r="A321" t="s">
        <v>531</v>
      </c>
      <c r="B321" s="1" t="s">
        <v>532</v>
      </c>
      <c r="C321" s="1" t="s">
        <v>12</v>
      </c>
      <c r="D321" s="1" t="s">
        <v>37</v>
      </c>
      <c r="E321" s="1">
        <v>2020</v>
      </c>
      <c r="F321" s="1" t="s">
        <v>14</v>
      </c>
      <c r="G321" s="1" t="s">
        <v>533</v>
      </c>
      <c r="H321" s="1" t="s">
        <v>16</v>
      </c>
      <c r="I321">
        <v>42</v>
      </c>
      <c r="J321">
        <v>4</v>
      </c>
    </row>
    <row r="322" spans="1:10" hidden="1">
      <c r="A322" t="s">
        <v>534</v>
      </c>
      <c r="B322" s="1" t="s">
        <v>535</v>
      </c>
      <c r="C322" s="1" t="s">
        <v>12</v>
      </c>
      <c r="D322" s="1" t="s">
        <v>37</v>
      </c>
      <c r="E322" s="1">
        <v>2020</v>
      </c>
      <c r="F322" s="1" t="s">
        <v>14</v>
      </c>
      <c r="G322" s="1" t="s">
        <v>536</v>
      </c>
      <c r="H322" s="1" t="s">
        <v>22</v>
      </c>
    </row>
    <row r="323" spans="1:10">
      <c r="A323" t="s">
        <v>537</v>
      </c>
      <c r="B323" s="1" t="s">
        <v>538</v>
      </c>
      <c r="C323" s="1" t="s">
        <v>12</v>
      </c>
      <c r="D323" s="1" t="s">
        <v>30</v>
      </c>
      <c r="E323" s="1">
        <v>2019</v>
      </c>
      <c r="F323" s="1" t="s">
        <v>14</v>
      </c>
      <c r="G323" s="1" t="s">
        <v>539</v>
      </c>
      <c r="H323" s="1" t="s">
        <v>16</v>
      </c>
      <c r="I323">
        <v>94</v>
      </c>
      <c r="J323">
        <v>20</v>
      </c>
    </row>
    <row r="324" spans="1:10">
      <c r="A324" t="s">
        <v>540</v>
      </c>
      <c r="B324" s="1" t="s">
        <v>541</v>
      </c>
      <c r="C324" s="1" t="s">
        <v>12</v>
      </c>
      <c r="D324" s="1" t="s">
        <v>30</v>
      </c>
      <c r="E324" s="1">
        <v>2022</v>
      </c>
      <c r="F324" s="1" t="s">
        <v>14</v>
      </c>
      <c r="G324" s="1" t="s">
        <v>542</v>
      </c>
      <c r="H324" s="1" t="s">
        <v>16</v>
      </c>
      <c r="I324">
        <v>96</v>
      </c>
      <c r="J324">
        <v>1</v>
      </c>
    </row>
    <row r="325" spans="1:10" hidden="1">
      <c r="A325" t="s">
        <v>543</v>
      </c>
      <c r="B325" s="1" t="s">
        <v>544</v>
      </c>
      <c r="C325" s="1" t="s">
        <v>12</v>
      </c>
      <c r="D325" s="1" t="s">
        <v>37</v>
      </c>
      <c r="E325" s="1">
        <v>2021</v>
      </c>
      <c r="F325" s="1" t="s">
        <v>14</v>
      </c>
      <c r="G325" s="1" t="s">
        <v>545</v>
      </c>
      <c r="H325" s="1" t="s">
        <v>22</v>
      </c>
    </row>
    <row r="326" spans="1:10">
      <c r="A326" t="s">
        <v>546</v>
      </c>
      <c r="B326" s="1" t="s">
        <v>544</v>
      </c>
      <c r="C326" s="1" t="s">
        <v>25</v>
      </c>
      <c r="D326" s="1" t="s">
        <v>64</v>
      </c>
      <c r="E326" s="1">
        <v>2022</v>
      </c>
      <c r="F326" s="1" t="s">
        <v>14</v>
      </c>
      <c r="G326" s="1" t="s">
        <v>547</v>
      </c>
      <c r="H326" s="1" t="s">
        <v>16</v>
      </c>
      <c r="I326">
        <v>36</v>
      </c>
      <c r="J326">
        <v>10</v>
      </c>
    </row>
    <row r="327" spans="1:10">
      <c r="A327" t="s">
        <v>548</v>
      </c>
      <c r="B327" s="1" t="s">
        <v>544</v>
      </c>
      <c r="C327" s="1" t="s">
        <v>25</v>
      </c>
      <c r="D327" s="1" t="s">
        <v>37</v>
      </c>
      <c r="E327" s="1">
        <v>2018</v>
      </c>
      <c r="F327" s="1" t="s">
        <v>14</v>
      </c>
      <c r="G327" s="1" t="s">
        <v>549</v>
      </c>
      <c r="H327" s="1" t="s">
        <v>16</v>
      </c>
      <c r="I327">
        <v>95</v>
      </c>
      <c r="J327">
        <v>9</v>
      </c>
    </row>
    <row r="328" spans="1:10" hidden="1">
      <c r="A328" t="s">
        <v>550</v>
      </c>
      <c r="B328" s="1" t="s">
        <v>551</v>
      </c>
      <c r="C328" s="1" t="s">
        <v>25</v>
      </c>
      <c r="D328" s="1" t="s">
        <v>37</v>
      </c>
      <c r="E328" s="1">
        <v>2022</v>
      </c>
      <c r="F328" s="1" t="s">
        <v>14</v>
      </c>
      <c r="G328" s="1" t="s">
        <v>549</v>
      </c>
      <c r="H328" s="1" t="s">
        <v>22</v>
      </c>
    </row>
    <row r="329" spans="1:10">
      <c r="A329" t="s">
        <v>552</v>
      </c>
      <c r="B329" s="1" t="s">
        <v>551</v>
      </c>
      <c r="C329" s="1" t="s">
        <v>25</v>
      </c>
      <c r="D329" s="1" t="s">
        <v>64</v>
      </c>
      <c r="E329" s="1">
        <v>2021</v>
      </c>
      <c r="F329" s="1" t="s">
        <v>14</v>
      </c>
      <c r="G329" s="2" t="s">
        <v>549</v>
      </c>
      <c r="H329" s="1" t="s">
        <v>16</v>
      </c>
      <c r="I329">
        <v>100</v>
      </c>
      <c r="J329">
        <v>20</v>
      </c>
    </row>
    <row r="330" spans="1:10">
      <c r="A330" t="s">
        <v>550</v>
      </c>
      <c r="B330" s="1" t="s">
        <v>553</v>
      </c>
      <c r="C330" s="1" t="s">
        <v>12</v>
      </c>
      <c r="D330" s="1" t="s">
        <v>30</v>
      </c>
      <c r="E330" s="1">
        <v>2021</v>
      </c>
      <c r="F330" s="1" t="s">
        <v>14</v>
      </c>
      <c r="G330" s="2" t="s">
        <v>549</v>
      </c>
      <c r="H330" s="1" t="s">
        <v>16</v>
      </c>
      <c r="I330">
        <v>34</v>
      </c>
      <c r="J330">
        <v>9</v>
      </c>
    </row>
    <row r="331" spans="1:10" hidden="1">
      <c r="A331" t="s">
        <v>552</v>
      </c>
      <c r="B331" s="1" t="s">
        <v>554</v>
      </c>
      <c r="C331" s="1" t="s">
        <v>25</v>
      </c>
      <c r="D331" s="1" t="s">
        <v>37</v>
      </c>
      <c r="E331" s="1">
        <v>2021</v>
      </c>
      <c r="F331" s="1" t="s">
        <v>14</v>
      </c>
      <c r="G331" s="1" t="s">
        <v>549</v>
      </c>
      <c r="H331" s="1" t="s">
        <v>22</v>
      </c>
    </row>
    <row r="332" spans="1:10">
      <c r="A332" t="s">
        <v>552</v>
      </c>
      <c r="B332" s="1" t="s">
        <v>555</v>
      </c>
      <c r="C332" s="1" t="s">
        <v>25</v>
      </c>
      <c r="D332" s="1" t="s">
        <v>37</v>
      </c>
      <c r="E332" s="1">
        <v>2021</v>
      </c>
      <c r="F332" s="1" t="s">
        <v>14</v>
      </c>
      <c r="G332" s="1" t="s">
        <v>549</v>
      </c>
      <c r="H332" s="1" t="s">
        <v>16</v>
      </c>
      <c r="I332">
        <v>62</v>
      </c>
      <c r="J332">
        <v>20</v>
      </c>
    </row>
    <row r="333" spans="1:10">
      <c r="A333" t="s">
        <v>556</v>
      </c>
      <c r="B333" s="1" t="s">
        <v>557</v>
      </c>
      <c r="C333" s="1" t="s">
        <v>25</v>
      </c>
      <c r="D333" s="1" t="s">
        <v>37</v>
      </c>
      <c r="E333" s="1">
        <v>2017</v>
      </c>
      <c r="F333" s="1" t="s">
        <v>14</v>
      </c>
      <c r="G333" s="1" t="s">
        <v>549</v>
      </c>
      <c r="H333" s="1" t="s">
        <v>16</v>
      </c>
      <c r="I333">
        <v>31</v>
      </c>
      <c r="J333">
        <v>18</v>
      </c>
    </row>
    <row r="334" spans="1:10" hidden="1">
      <c r="A334" t="s">
        <v>558</v>
      </c>
      <c r="B334" s="1" t="s">
        <v>559</v>
      </c>
      <c r="C334" s="1" t="s">
        <v>12</v>
      </c>
      <c r="D334" s="1" t="s">
        <v>37</v>
      </c>
      <c r="E334" s="1">
        <v>2022</v>
      </c>
      <c r="F334" s="1" t="s">
        <v>14</v>
      </c>
      <c r="G334" s="1" t="s">
        <v>549</v>
      </c>
      <c r="H334" s="1" t="s">
        <v>22</v>
      </c>
    </row>
    <row r="335" spans="1:10">
      <c r="A335" t="s">
        <v>558</v>
      </c>
      <c r="B335" s="1" t="s">
        <v>560</v>
      </c>
      <c r="C335" s="1" t="s">
        <v>12</v>
      </c>
      <c r="D335" s="1" t="s">
        <v>30</v>
      </c>
      <c r="E335" s="1">
        <v>2022</v>
      </c>
      <c r="F335" s="1" t="s">
        <v>14</v>
      </c>
      <c r="G335" s="1" t="s">
        <v>549</v>
      </c>
      <c r="H335" s="1" t="s">
        <v>16</v>
      </c>
      <c r="I335">
        <v>90</v>
      </c>
      <c r="J335">
        <v>15</v>
      </c>
    </row>
    <row r="336" spans="1:10">
      <c r="A336" t="s">
        <v>561</v>
      </c>
      <c r="B336" s="1" t="s">
        <v>562</v>
      </c>
      <c r="C336" s="1" t="s">
        <v>12</v>
      </c>
      <c r="D336" s="1" t="s">
        <v>37</v>
      </c>
      <c r="E336" s="1">
        <v>2016</v>
      </c>
      <c r="F336" s="1" t="s">
        <v>14</v>
      </c>
      <c r="G336" s="1" t="s">
        <v>563</v>
      </c>
      <c r="H336" s="1" t="s">
        <v>16</v>
      </c>
      <c r="I336">
        <v>80</v>
      </c>
      <c r="J336">
        <v>1</v>
      </c>
    </row>
    <row r="337" spans="1:10" hidden="1">
      <c r="A337" t="s">
        <v>564</v>
      </c>
      <c r="B337" s="1" t="s">
        <v>565</v>
      </c>
      <c r="C337" s="1" t="s">
        <v>25</v>
      </c>
      <c r="D337" s="1" t="s">
        <v>37</v>
      </c>
      <c r="E337" s="1">
        <v>2022</v>
      </c>
      <c r="F337" s="1" t="s">
        <v>14</v>
      </c>
      <c r="G337" s="1" t="s">
        <v>549</v>
      </c>
      <c r="H337" s="1" t="s">
        <v>22</v>
      </c>
    </row>
    <row r="338" spans="1:10">
      <c r="A338" t="s">
        <v>566</v>
      </c>
      <c r="B338" s="1" t="s">
        <v>565</v>
      </c>
      <c r="C338" s="1" t="s">
        <v>25</v>
      </c>
      <c r="D338" s="1" t="s">
        <v>37</v>
      </c>
      <c r="E338" s="1">
        <v>2015</v>
      </c>
      <c r="F338" s="1" t="s">
        <v>14</v>
      </c>
      <c r="G338" s="1" t="s">
        <v>549</v>
      </c>
      <c r="H338" s="1" t="s">
        <v>16</v>
      </c>
      <c r="I338">
        <v>51</v>
      </c>
      <c r="J338">
        <v>2</v>
      </c>
    </row>
    <row r="339" spans="1:10">
      <c r="A339" t="s">
        <v>567</v>
      </c>
      <c r="B339" s="1" t="s">
        <v>565</v>
      </c>
      <c r="C339" s="1" t="s">
        <v>12</v>
      </c>
      <c r="D339" s="1" t="s">
        <v>37</v>
      </c>
      <c r="E339" s="1">
        <v>2022</v>
      </c>
      <c r="F339" s="1" t="s">
        <v>14</v>
      </c>
      <c r="G339" s="1" t="s">
        <v>549</v>
      </c>
      <c r="H339" s="1" t="s">
        <v>16</v>
      </c>
      <c r="I339">
        <v>34</v>
      </c>
      <c r="J339">
        <v>5</v>
      </c>
    </row>
    <row r="340" spans="1:10" hidden="1">
      <c r="A340" t="s">
        <v>567</v>
      </c>
      <c r="B340" s="1" t="s">
        <v>568</v>
      </c>
      <c r="C340" s="1" t="s">
        <v>12</v>
      </c>
      <c r="D340" s="1" t="s">
        <v>37</v>
      </c>
      <c r="E340" s="1">
        <v>2022</v>
      </c>
      <c r="F340" s="1" t="s">
        <v>14</v>
      </c>
      <c r="G340" s="1" t="s">
        <v>549</v>
      </c>
      <c r="H340" s="1" t="s">
        <v>22</v>
      </c>
    </row>
    <row r="341" spans="1:10">
      <c r="A341" t="s">
        <v>569</v>
      </c>
      <c r="B341" s="1" t="s">
        <v>570</v>
      </c>
      <c r="C341" s="1" t="s">
        <v>25</v>
      </c>
      <c r="D341" s="1" t="s">
        <v>30</v>
      </c>
      <c r="E341" s="1">
        <v>2017</v>
      </c>
      <c r="F341" s="1" t="s">
        <v>14</v>
      </c>
      <c r="G341" s="1" t="s">
        <v>549</v>
      </c>
      <c r="H341" s="1" t="s">
        <v>16</v>
      </c>
      <c r="I341">
        <v>92</v>
      </c>
      <c r="J341">
        <v>15</v>
      </c>
    </row>
    <row r="342" spans="1:10">
      <c r="A342" t="s">
        <v>571</v>
      </c>
      <c r="B342" s="1" t="s">
        <v>572</v>
      </c>
      <c r="C342" s="1" t="s">
        <v>12</v>
      </c>
      <c r="D342" s="1" t="s">
        <v>26</v>
      </c>
      <c r="E342" s="1">
        <v>2022</v>
      </c>
      <c r="F342" s="1" t="s">
        <v>14</v>
      </c>
      <c r="G342" s="1" t="s">
        <v>549</v>
      </c>
      <c r="H342" s="1" t="s">
        <v>16</v>
      </c>
      <c r="I342">
        <v>74</v>
      </c>
      <c r="J342">
        <v>4</v>
      </c>
    </row>
    <row r="343" spans="1:10" hidden="1">
      <c r="A343" t="s">
        <v>573</v>
      </c>
      <c r="B343" s="1" t="s">
        <v>574</v>
      </c>
      <c r="C343" s="1" t="s">
        <v>12</v>
      </c>
      <c r="D343" s="1" t="s">
        <v>37</v>
      </c>
      <c r="E343" s="1">
        <v>2020</v>
      </c>
      <c r="F343" s="1" t="s">
        <v>14</v>
      </c>
      <c r="G343" s="1" t="s">
        <v>563</v>
      </c>
      <c r="H343" s="1" t="s">
        <v>22</v>
      </c>
    </row>
    <row r="344" spans="1:10">
      <c r="A344" t="s">
        <v>575</v>
      </c>
      <c r="B344" s="1" t="s">
        <v>574</v>
      </c>
      <c r="C344" s="1" t="s">
        <v>25</v>
      </c>
      <c r="D344" s="1" t="s">
        <v>30</v>
      </c>
      <c r="E344" s="1">
        <v>2016</v>
      </c>
      <c r="F344" s="1" t="s">
        <v>14</v>
      </c>
      <c r="G344" s="1" t="s">
        <v>549</v>
      </c>
      <c r="H344" s="1" t="s">
        <v>16</v>
      </c>
      <c r="I344">
        <v>67</v>
      </c>
      <c r="J344">
        <v>1</v>
      </c>
    </row>
    <row r="345" spans="1:10">
      <c r="A345" t="s">
        <v>576</v>
      </c>
      <c r="B345" s="1" t="s">
        <v>574</v>
      </c>
      <c r="C345" s="1" t="s">
        <v>25</v>
      </c>
      <c r="D345" s="1" t="s">
        <v>37</v>
      </c>
      <c r="E345" s="1">
        <v>2019</v>
      </c>
      <c r="F345" s="1" t="s">
        <v>14</v>
      </c>
      <c r="G345" s="2" t="s">
        <v>549</v>
      </c>
      <c r="H345" s="1" t="s">
        <v>16</v>
      </c>
      <c r="I345">
        <v>29</v>
      </c>
      <c r="J345">
        <v>5</v>
      </c>
    </row>
    <row r="346" spans="1:10" hidden="1">
      <c r="A346" t="s">
        <v>577</v>
      </c>
      <c r="B346" s="1" t="s">
        <v>574</v>
      </c>
      <c r="C346" s="1" t="s">
        <v>25</v>
      </c>
      <c r="D346" s="1" t="s">
        <v>64</v>
      </c>
      <c r="E346" s="1">
        <v>2020</v>
      </c>
      <c r="F346" s="1" t="s">
        <v>14</v>
      </c>
      <c r="G346" s="1" t="s">
        <v>563</v>
      </c>
      <c r="H346" s="1" t="s">
        <v>22</v>
      </c>
    </row>
    <row r="347" spans="1:10">
      <c r="A347" t="s">
        <v>578</v>
      </c>
      <c r="B347" s="1" t="s">
        <v>574</v>
      </c>
      <c r="C347" s="1" t="s">
        <v>25</v>
      </c>
      <c r="D347" s="1" t="s">
        <v>37</v>
      </c>
      <c r="E347" s="1">
        <v>2018</v>
      </c>
      <c r="F347" s="1" t="s">
        <v>14</v>
      </c>
      <c r="G347" s="1" t="s">
        <v>549</v>
      </c>
      <c r="H347" s="1" t="s">
        <v>16</v>
      </c>
      <c r="I347">
        <v>66</v>
      </c>
      <c r="J347">
        <v>3</v>
      </c>
    </row>
    <row r="348" spans="1:10">
      <c r="A348" t="s">
        <v>579</v>
      </c>
      <c r="B348" s="1" t="s">
        <v>574</v>
      </c>
      <c r="C348" s="1" t="s">
        <v>12</v>
      </c>
      <c r="D348" s="1" t="s">
        <v>37</v>
      </c>
      <c r="E348" s="1">
        <v>2022</v>
      </c>
      <c r="F348" s="1" t="s">
        <v>14</v>
      </c>
      <c r="G348" s="1" t="s">
        <v>563</v>
      </c>
      <c r="H348" s="1" t="s">
        <v>16</v>
      </c>
      <c r="I348">
        <v>52</v>
      </c>
      <c r="J348">
        <v>18</v>
      </c>
    </row>
    <row r="349" spans="1:10" hidden="1">
      <c r="A349" t="s">
        <v>580</v>
      </c>
      <c r="B349" s="1" t="s">
        <v>581</v>
      </c>
      <c r="C349" s="1" t="s">
        <v>25</v>
      </c>
      <c r="D349" s="1" t="s">
        <v>64</v>
      </c>
      <c r="E349" s="1">
        <v>2019</v>
      </c>
      <c r="F349" s="1" t="s">
        <v>14</v>
      </c>
      <c r="G349" s="2" t="s">
        <v>549</v>
      </c>
      <c r="H349" s="1" t="s">
        <v>22</v>
      </c>
    </row>
    <row r="350" spans="1:10">
      <c r="A350" t="s">
        <v>582</v>
      </c>
      <c r="B350" s="1" t="s">
        <v>583</v>
      </c>
      <c r="C350" s="1" t="s">
        <v>25</v>
      </c>
      <c r="D350" s="1" t="s">
        <v>37</v>
      </c>
      <c r="E350" s="1">
        <v>2021</v>
      </c>
      <c r="F350" s="1" t="s">
        <v>14</v>
      </c>
      <c r="G350" s="1" t="s">
        <v>563</v>
      </c>
      <c r="H350" s="1" t="s">
        <v>16</v>
      </c>
      <c r="I350">
        <v>22</v>
      </c>
      <c r="J350">
        <v>5</v>
      </c>
    </row>
    <row r="351" spans="1:10">
      <c r="A351" t="s">
        <v>580</v>
      </c>
      <c r="B351" s="1" t="s">
        <v>584</v>
      </c>
      <c r="C351" s="1" t="s">
        <v>12</v>
      </c>
      <c r="D351" s="1" t="s">
        <v>37</v>
      </c>
      <c r="E351" s="1">
        <v>2022</v>
      </c>
      <c r="F351" s="1" t="s">
        <v>14</v>
      </c>
      <c r="G351" s="1" t="s">
        <v>549</v>
      </c>
      <c r="H351" s="1" t="s">
        <v>16</v>
      </c>
      <c r="I351">
        <v>70</v>
      </c>
      <c r="J351">
        <v>14</v>
      </c>
    </row>
    <row r="352" spans="1:10" hidden="1">
      <c r="A352" t="s">
        <v>582</v>
      </c>
      <c r="B352" s="1" t="s">
        <v>585</v>
      </c>
      <c r="C352" s="1" t="s">
        <v>12</v>
      </c>
      <c r="D352" s="1" t="s">
        <v>37</v>
      </c>
      <c r="E352" s="1">
        <v>2022</v>
      </c>
      <c r="F352" s="1" t="s">
        <v>14</v>
      </c>
      <c r="G352" s="1" t="s">
        <v>549</v>
      </c>
      <c r="H352" s="1" t="s">
        <v>22</v>
      </c>
    </row>
    <row r="353" spans="1:10">
      <c r="A353" t="s">
        <v>582</v>
      </c>
      <c r="B353" s="1" t="s">
        <v>586</v>
      </c>
      <c r="C353" s="1" t="s">
        <v>12</v>
      </c>
      <c r="D353" s="1" t="s">
        <v>64</v>
      </c>
      <c r="E353" s="1">
        <v>2022</v>
      </c>
      <c r="F353" s="1" t="s">
        <v>14</v>
      </c>
      <c r="G353" s="1" t="s">
        <v>549</v>
      </c>
      <c r="H353" s="1" t="s">
        <v>16</v>
      </c>
      <c r="I353">
        <v>43</v>
      </c>
      <c r="J353">
        <v>10</v>
      </c>
    </row>
    <row r="354" spans="1:10">
      <c r="A354" t="s">
        <v>582</v>
      </c>
      <c r="B354" s="1" t="s">
        <v>587</v>
      </c>
      <c r="C354" s="1" t="s">
        <v>25</v>
      </c>
      <c r="D354" s="1" t="s">
        <v>37</v>
      </c>
      <c r="E354" s="1">
        <v>2021</v>
      </c>
      <c r="F354" s="1" t="s">
        <v>14</v>
      </c>
      <c r="G354" s="1" t="s">
        <v>563</v>
      </c>
      <c r="H354" s="1" t="s">
        <v>16</v>
      </c>
      <c r="I354">
        <v>35</v>
      </c>
      <c r="J354">
        <v>17</v>
      </c>
    </row>
    <row r="355" spans="1:10" hidden="1">
      <c r="A355" t="s">
        <v>582</v>
      </c>
      <c r="B355" s="1" t="s">
        <v>588</v>
      </c>
      <c r="C355" s="1" t="s">
        <v>12</v>
      </c>
      <c r="D355" s="1" t="s">
        <v>37</v>
      </c>
      <c r="E355" s="1">
        <v>2021</v>
      </c>
      <c r="F355" s="1" t="s">
        <v>14</v>
      </c>
      <c r="G355" s="1" t="s">
        <v>563</v>
      </c>
      <c r="H355" s="1" t="s">
        <v>22</v>
      </c>
    </row>
    <row r="356" spans="1:10">
      <c r="A356" t="s">
        <v>580</v>
      </c>
      <c r="B356" s="1" t="s">
        <v>589</v>
      </c>
      <c r="C356" s="1" t="s">
        <v>12</v>
      </c>
      <c r="D356" s="1" t="s">
        <v>37</v>
      </c>
      <c r="E356" s="1">
        <v>2022</v>
      </c>
      <c r="F356" s="1" t="s">
        <v>14</v>
      </c>
      <c r="G356" s="1" t="s">
        <v>549</v>
      </c>
      <c r="H356" s="1" t="s">
        <v>16</v>
      </c>
      <c r="I356">
        <v>81</v>
      </c>
      <c r="J356">
        <v>14</v>
      </c>
    </row>
    <row r="357" spans="1:10">
      <c r="A357" t="s">
        <v>582</v>
      </c>
      <c r="B357" s="1" t="s">
        <v>590</v>
      </c>
      <c r="C357" s="1" t="s">
        <v>12</v>
      </c>
      <c r="D357" s="1" t="s">
        <v>37</v>
      </c>
      <c r="E357" s="1">
        <v>2022</v>
      </c>
      <c r="F357" s="1" t="s">
        <v>14</v>
      </c>
      <c r="G357" s="1" t="s">
        <v>549</v>
      </c>
      <c r="H357" s="1" t="s">
        <v>16</v>
      </c>
      <c r="I357">
        <v>47</v>
      </c>
      <c r="J357">
        <v>20</v>
      </c>
    </row>
    <row r="358" spans="1:10" hidden="1">
      <c r="A358" t="s">
        <v>591</v>
      </c>
      <c r="B358" s="1" t="s">
        <v>592</v>
      </c>
      <c r="C358" s="1" t="s">
        <v>25</v>
      </c>
      <c r="D358" s="1" t="s">
        <v>37</v>
      </c>
      <c r="E358" s="1">
        <v>2021</v>
      </c>
      <c r="F358" s="1" t="s">
        <v>14</v>
      </c>
      <c r="G358" s="1" t="s">
        <v>563</v>
      </c>
      <c r="H358" s="1" t="s">
        <v>22</v>
      </c>
    </row>
    <row r="359" spans="1:10">
      <c r="A359" t="s">
        <v>593</v>
      </c>
      <c r="B359" s="1" t="s">
        <v>590</v>
      </c>
      <c r="C359" s="1" t="s">
        <v>12</v>
      </c>
      <c r="D359" s="1" t="s">
        <v>37</v>
      </c>
      <c r="E359" s="1">
        <v>2021</v>
      </c>
      <c r="F359" s="1" t="s">
        <v>14</v>
      </c>
      <c r="G359" s="1" t="s">
        <v>549</v>
      </c>
      <c r="H359" s="1" t="s">
        <v>16</v>
      </c>
      <c r="I359">
        <v>24</v>
      </c>
      <c r="J359">
        <v>8</v>
      </c>
    </row>
    <row r="360" spans="1:10">
      <c r="A360" t="s">
        <v>594</v>
      </c>
      <c r="B360" s="1" t="s">
        <v>590</v>
      </c>
      <c r="C360" s="1" t="s">
        <v>12</v>
      </c>
      <c r="D360" s="1" t="s">
        <v>37</v>
      </c>
      <c r="E360" s="1">
        <v>2022</v>
      </c>
      <c r="F360" s="1" t="s">
        <v>14</v>
      </c>
      <c r="G360" s="1" t="s">
        <v>549</v>
      </c>
      <c r="H360" s="1" t="s">
        <v>16</v>
      </c>
      <c r="I360">
        <v>34</v>
      </c>
      <c r="J360">
        <v>8</v>
      </c>
    </row>
    <row r="361" spans="1:10" hidden="1">
      <c r="A361" t="s">
        <v>595</v>
      </c>
      <c r="B361" s="1" t="s">
        <v>596</v>
      </c>
      <c r="C361" s="1" t="s">
        <v>12</v>
      </c>
      <c r="D361" s="1" t="s">
        <v>37</v>
      </c>
      <c r="E361" s="1">
        <v>2022</v>
      </c>
      <c r="F361" s="1" t="s">
        <v>14</v>
      </c>
      <c r="G361" s="1" t="s">
        <v>563</v>
      </c>
      <c r="H361" s="1" t="s">
        <v>22</v>
      </c>
    </row>
    <row r="362" spans="1:10">
      <c r="A362" t="s">
        <v>595</v>
      </c>
      <c r="B362" s="1" t="s">
        <v>597</v>
      </c>
      <c r="C362" s="1" t="s">
        <v>25</v>
      </c>
      <c r="D362" s="1" t="s">
        <v>37</v>
      </c>
      <c r="E362" s="1">
        <v>2015</v>
      </c>
      <c r="F362" s="1" t="s">
        <v>14</v>
      </c>
      <c r="G362" s="1" t="s">
        <v>598</v>
      </c>
      <c r="H362" s="1" t="s">
        <v>16</v>
      </c>
      <c r="I362">
        <v>39</v>
      </c>
      <c r="J362">
        <v>12</v>
      </c>
    </row>
    <row r="363" spans="1:10">
      <c r="A363" t="s">
        <v>599</v>
      </c>
      <c r="B363" s="1" t="s">
        <v>600</v>
      </c>
      <c r="C363" s="1" t="s">
        <v>25</v>
      </c>
      <c r="D363" s="1" t="s">
        <v>64</v>
      </c>
      <c r="E363" s="1">
        <v>2017</v>
      </c>
      <c r="F363" s="1" t="s">
        <v>14</v>
      </c>
      <c r="G363" s="1" t="s">
        <v>549</v>
      </c>
      <c r="H363" s="1" t="s">
        <v>16</v>
      </c>
      <c r="I363">
        <v>49</v>
      </c>
      <c r="J363">
        <v>12</v>
      </c>
    </row>
    <row r="364" spans="1:10" hidden="1">
      <c r="A364" t="s">
        <v>601</v>
      </c>
      <c r="B364" s="1" t="s">
        <v>600</v>
      </c>
      <c r="C364" s="1" t="s">
        <v>25</v>
      </c>
      <c r="D364" s="1" t="s">
        <v>64</v>
      </c>
      <c r="E364" s="1">
        <v>2020</v>
      </c>
      <c r="F364" s="1" t="s">
        <v>14</v>
      </c>
      <c r="G364" s="1" t="s">
        <v>549</v>
      </c>
      <c r="H364" s="1" t="s">
        <v>22</v>
      </c>
    </row>
    <row r="365" spans="1:10">
      <c r="A365" t="s">
        <v>601</v>
      </c>
      <c r="B365" s="1" t="s">
        <v>602</v>
      </c>
      <c r="C365" s="1" t="s">
        <v>12</v>
      </c>
      <c r="D365" s="1" t="s">
        <v>37</v>
      </c>
      <c r="E365" s="1">
        <v>2022</v>
      </c>
      <c r="F365" s="1" t="s">
        <v>14</v>
      </c>
      <c r="G365" s="1" t="s">
        <v>549</v>
      </c>
      <c r="H365" s="1" t="s">
        <v>16</v>
      </c>
      <c r="I365">
        <v>93</v>
      </c>
      <c r="J365">
        <v>5</v>
      </c>
    </row>
    <row r="366" spans="1:10">
      <c r="A366" t="s">
        <v>601</v>
      </c>
      <c r="B366" s="1" t="s">
        <v>603</v>
      </c>
      <c r="C366" s="1" t="s">
        <v>12</v>
      </c>
      <c r="D366" s="1" t="s">
        <v>37</v>
      </c>
      <c r="E366" s="1">
        <v>2022</v>
      </c>
      <c r="F366" s="1" t="s">
        <v>14</v>
      </c>
      <c r="G366" s="1" t="s">
        <v>563</v>
      </c>
      <c r="H366" s="1" t="s">
        <v>16</v>
      </c>
      <c r="I366">
        <v>53</v>
      </c>
      <c r="J366">
        <v>7</v>
      </c>
    </row>
    <row r="367" spans="1:10" hidden="1">
      <c r="A367" t="s">
        <v>604</v>
      </c>
      <c r="B367" s="1" t="s">
        <v>605</v>
      </c>
      <c r="C367" s="1" t="s">
        <v>12</v>
      </c>
      <c r="D367" s="1" t="s">
        <v>37</v>
      </c>
      <c r="E367" s="1">
        <v>2022</v>
      </c>
      <c r="F367" s="1" t="s">
        <v>14</v>
      </c>
      <c r="G367" s="1" t="s">
        <v>563</v>
      </c>
      <c r="H367" s="1" t="s">
        <v>22</v>
      </c>
    </row>
    <row r="368" spans="1:10">
      <c r="A368" t="s">
        <v>606</v>
      </c>
      <c r="B368" s="1" t="s">
        <v>607</v>
      </c>
      <c r="C368" s="1" t="s">
        <v>25</v>
      </c>
      <c r="D368" s="1" t="s">
        <v>64</v>
      </c>
      <c r="E368" s="1">
        <v>2022</v>
      </c>
      <c r="F368" s="1" t="s">
        <v>14</v>
      </c>
      <c r="G368" s="1" t="s">
        <v>563</v>
      </c>
      <c r="H368" s="1" t="s">
        <v>16</v>
      </c>
      <c r="I368">
        <v>85</v>
      </c>
      <c r="J368">
        <v>1</v>
      </c>
    </row>
    <row r="369" spans="1:10">
      <c r="A369" t="s">
        <v>608</v>
      </c>
      <c r="B369" s="1" t="s">
        <v>609</v>
      </c>
      <c r="C369" s="1" t="s">
        <v>12</v>
      </c>
      <c r="D369" s="1" t="s">
        <v>37</v>
      </c>
      <c r="E369" s="1">
        <v>2022</v>
      </c>
      <c r="F369" s="1" t="s">
        <v>14</v>
      </c>
      <c r="G369" s="1" t="s">
        <v>563</v>
      </c>
      <c r="H369" s="1" t="s">
        <v>16</v>
      </c>
      <c r="I369">
        <v>57</v>
      </c>
      <c r="J369">
        <v>16</v>
      </c>
    </row>
    <row r="370" spans="1:10" hidden="1">
      <c r="A370" t="s">
        <v>610</v>
      </c>
      <c r="B370" s="1" t="s">
        <v>611</v>
      </c>
      <c r="C370" s="1" t="s">
        <v>12</v>
      </c>
      <c r="D370" s="1" t="s">
        <v>26</v>
      </c>
      <c r="E370" s="1">
        <v>2017</v>
      </c>
      <c r="F370" s="1" t="s">
        <v>14</v>
      </c>
      <c r="G370" s="1" t="s">
        <v>612</v>
      </c>
      <c r="H370" s="1" t="s">
        <v>22</v>
      </c>
    </row>
    <row r="371" spans="1:10">
      <c r="A371" t="s">
        <v>613</v>
      </c>
      <c r="B371" s="1" t="s">
        <v>614</v>
      </c>
      <c r="C371" s="1" t="s">
        <v>25</v>
      </c>
      <c r="D371" s="1" t="s">
        <v>37</v>
      </c>
      <c r="E371" s="1">
        <v>2021</v>
      </c>
      <c r="F371" s="1" t="s">
        <v>14</v>
      </c>
      <c r="G371" s="1" t="s">
        <v>612</v>
      </c>
      <c r="H371" s="1" t="s">
        <v>16</v>
      </c>
      <c r="I371">
        <v>27</v>
      </c>
      <c r="J371">
        <v>9</v>
      </c>
    </row>
    <row r="372" spans="1:10">
      <c r="A372" t="s">
        <v>615</v>
      </c>
      <c r="B372" s="1" t="s">
        <v>616</v>
      </c>
      <c r="C372" s="1" t="s">
        <v>12</v>
      </c>
      <c r="D372" s="1" t="s">
        <v>37</v>
      </c>
      <c r="E372" s="1">
        <v>2019</v>
      </c>
      <c r="F372" s="1" t="s">
        <v>14</v>
      </c>
      <c r="G372" s="2" t="s">
        <v>617</v>
      </c>
      <c r="H372" s="1" t="s">
        <v>16</v>
      </c>
      <c r="I372">
        <v>36</v>
      </c>
      <c r="J372">
        <v>20</v>
      </c>
    </row>
    <row r="373" spans="1:10" hidden="1">
      <c r="A373" t="s">
        <v>618</v>
      </c>
      <c r="B373" s="1" t="s">
        <v>619</v>
      </c>
      <c r="C373" s="1" t="s">
        <v>12</v>
      </c>
      <c r="D373" s="1" t="s">
        <v>37</v>
      </c>
      <c r="E373" s="1">
        <v>2021</v>
      </c>
      <c r="F373" s="1" t="s">
        <v>14</v>
      </c>
      <c r="G373" s="1" t="s">
        <v>617</v>
      </c>
      <c r="H373" s="1" t="s">
        <v>22</v>
      </c>
    </row>
    <row r="374" spans="1:10">
      <c r="A374" t="s">
        <v>615</v>
      </c>
      <c r="B374" s="1" t="s">
        <v>619</v>
      </c>
      <c r="C374" s="1" t="s">
        <v>25</v>
      </c>
      <c r="D374" s="1" t="s">
        <v>37</v>
      </c>
      <c r="E374" s="1">
        <v>2017</v>
      </c>
      <c r="F374" s="1" t="s">
        <v>14</v>
      </c>
      <c r="G374" s="2" t="s">
        <v>617</v>
      </c>
      <c r="H374" s="1" t="s">
        <v>16</v>
      </c>
      <c r="I374">
        <v>63</v>
      </c>
      <c r="J374">
        <v>7</v>
      </c>
    </row>
    <row r="375" spans="1:10">
      <c r="A375" t="s">
        <v>618</v>
      </c>
      <c r="B375" s="1" t="s">
        <v>620</v>
      </c>
      <c r="C375" s="1" t="s">
        <v>25</v>
      </c>
      <c r="D375" s="1" t="s">
        <v>37</v>
      </c>
      <c r="E375" s="1">
        <v>2015</v>
      </c>
      <c r="F375" s="1" t="s">
        <v>14</v>
      </c>
      <c r="G375" s="1" t="s">
        <v>621</v>
      </c>
      <c r="H375" s="1" t="s">
        <v>16</v>
      </c>
      <c r="I375">
        <v>64</v>
      </c>
      <c r="J375">
        <v>16</v>
      </c>
    </row>
    <row r="376" spans="1:10" hidden="1">
      <c r="A376" t="s">
        <v>622</v>
      </c>
      <c r="B376" s="1" t="s">
        <v>620</v>
      </c>
      <c r="C376" s="1" t="s">
        <v>12</v>
      </c>
      <c r="D376" s="1" t="s">
        <v>37</v>
      </c>
      <c r="E376" s="1">
        <v>2022</v>
      </c>
      <c r="F376" s="1" t="s">
        <v>14</v>
      </c>
      <c r="G376" s="1" t="s">
        <v>617</v>
      </c>
      <c r="H376" s="1" t="s">
        <v>22</v>
      </c>
    </row>
    <row r="377" spans="1:10">
      <c r="A377" t="s">
        <v>623</v>
      </c>
      <c r="B377" s="1" t="s">
        <v>620</v>
      </c>
      <c r="C377" s="1" t="s">
        <v>25</v>
      </c>
      <c r="D377" s="1" t="s">
        <v>37</v>
      </c>
      <c r="E377" s="1">
        <v>2021</v>
      </c>
      <c r="F377" s="1" t="s">
        <v>14</v>
      </c>
      <c r="G377" s="1" t="s">
        <v>617</v>
      </c>
      <c r="H377" s="1" t="s">
        <v>16</v>
      </c>
      <c r="I377">
        <v>46</v>
      </c>
      <c r="J377">
        <v>8</v>
      </c>
    </row>
    <row r="378" spans="1:10">
      <c r="A378" t="s">
        <v>624</v>
      </c>
      <c r="B378" s="1" t="s">
        <v>620</v>
      </c>
      <c r="C378" s="1" t="s">
        <v>25</v>
      </c>
      <c r="D378" s="1" t="s">
        <v>37</v>
      </c>
      <c r="E378" s="1">
        <v>2020</v>
      </c>
      <c r="F378" s="1" t="s">
        <v>14</v>
      </c>
      <c r="G378" s="1" t="s">
        <v>621</v>
      </c>
      <c r="H378" s="1" t="s">
        <v>16</v>
      </c>
      <c r="I378">
        <v>51</v>
      </c>
      <c r="J378">
        <v>5</v>
      </c>
    </row>
    <row r="379" spans="1:10" hidden="1">
      <c r="A379" t="s">
        <v>625</v>
      </c>
      <c r="B379" s="1" t="s">
        <v>626</v>
      </c>
      <c r="C379" s="1" t="s">
        <v>12</v>
      </c>
      <c r="D379" s="1" t="s">
        <v>37</v>
      </c>
      <c r="E379" s="1">
        <v>2020</v>
      </c>
      <c r="F379" s="1" t="s">
        <v>14</v>
      </c>
      <c r="G379" s="1" t="s">
        <v>621</v>
      </c>
      <c r="H379" s="1" t="s">
        <v>22</v>
      </c>
    </row>
    <row r="380" spans="1:10">
      <c r="A380" t="s">
        <v>627</v>
      </c>
      <c r="B380" s="1" t="s">
        <v>628</v>
      </c>
      <c r="C380" s="1" t="s">
        <v>12</v>
      </c>
      <c r="D380" s="1" t="s">
        <v>30</v>
      </c>
      <c r="E380" s="1">
        <v>2022</v>
      </c>
      <c r="F380" s="1" t="s">
        <v>14</v>
      </c>
      <c r="G380" s="1" t="s">
        <v>621</v>
      </c>
      <c r="H380" s="1" t="s">
        <v>16</v>
      </c>
      <c r="I380">
        <v>96</v>
      </c>
      <c r="J380">
        <v>17</v>
      </c>
    </row>
    <row r="381" spans="1:10">
      <c r="A381" t="s">
        <v>629</v>
      </c>
      <c r="B381" s="1" t="s">
        <v>630</v>
      </c>
      <c r="C381" s="1" t="s">
        <v>12</v>
      </c>
      <c r="D381" s="1" t="s">
        <v>30</v>
      </c>
      <c r="E381" s="1">
        <v>2022</v>
      </c>
      <c r="F381" s="1" t="s">
        <v>14</v>
      </c>
      <c r="G381" s="1" t="s">
        <v>617</v>
      </c>
      <c r="H381" s="1" t="s">
        <v>16</v>
      </c>
      <c r="I381">
        <v>56</v>
      </c>
      <c r="J381">
        <v>18</v>
      </c>
    </row>
    <row r="382" spans="1:10" hidden="1">
      <c r="A382" t="s">
        <v>631</v>
      </c>
      <c r="B382" s="1" t="s">
        <v>632</v>
      </c>
      <c r="C382" s="1" t="s">
        <v>12</v>
      </c>
      <c r="D382" s="1" t="s">
        <v>37</v>
      </c>
      <c r="E382" s="1">
        <v>2022</v>
      </c>
      <c r="F382" s="1" t="s">
        <v>14</v>
      </c>
      <c r="G382" s="1" t="s">
        <v>617</v>
      </c>
      <c r="H382" s="1" t="s">
        <v>22</v>
      </c>
    </row>
    <row r="383" spans="1:10">
      <c r="A383" t="s">
        <v>631</v>
      </c>
      <c r="B383" s="1" t="s">
        <v>633</v>
      </c>
      <c r="C383" s="1" t="s">
        <v>25</v>
      </c>
      <c r="D383" s="1" t="s">
        <v>26</v>
      </c>
      <c r="E383" s="1">
        <v>2021</v>
      </c>
      <c r="F383" s="1" t="s">
        <v>14</v>
      </c>
      <c r="G383" s="1" t="s">
        <v>634</v>
      </c>
      <c r="H383" s="1" t="s">
        <v>16</v>
      </c>
      <c r="I383">
        <v>27</v>
      </c>
      <c r="J383">
        <v>1</v>
      </c>
    </row>
    <row r="384" spans="1:10">
      <c r="A384" t="s">
        <v>635</v>
      </c>
      <c r="B384" s="1" t="s">
        <v>636</v>
      </c>
      <c r="C384" s="1" t="s">
        <v>25</v>
      </c>
      <c r="D384" s="1" t="s">
        <v>30</v>
      </c>
      <c r="E384" s="1">
        <v>2018</v>
      </c>
      <c r="F384" s="1" t="s">
        <v>14</v>
      </c>
      <c r="G384" s="1" t="s">
        <v>637</v>
      </c>
      <c r="H384" s="1" t="s">
        <v>16</v>
      </c>
      <c r="I384">
        <v>64</v>
      </c>
      <c r="J384">
        <v>11</v>
      </c>
    </row>
    <row r="385" spans="1:10" hidden="1">
      <c r="A385" t="s">
        <v>638</v>
      </c>
      <c r="B385" s="1" t="s">
        <v>639</v>
      </c>
      <c r="C385" s="1" t="s">
        <v>12</v>
      </c>
      <c r="D385" s="1" t="s">
        <v>37</v>
      </c>
      <c r="E385" s="1">
        <v>2022</v>
      </c>
      <c r="F385" s="1" t="s">
        <v>14</v>
      </c>
      <c r="G385" s="1" t="s">
        <v>640</v>
      </c>
      <c r="H385" s="1" t="s">
        <v>22</v>
      </c>
    </row>
    <row r="386" spans="1:10">
      <c r="A386" t="s">
        <v>641</v>
      </c>
      <c r="B386" s="1" t="s">
        <v>639</v>
      </c>
      <c r="C386" s="1" t="s">
        <v>25</v>
      </c>
      <c r="D386" s="1" t="s">
        <v>37</v>
      </c>
      <c r="E386" s="1">
        <v>2019</v>
      </c>
      <c r="F386" s="1" t="s">
        <v>14</v>
      </c>
      <c r="G386" s="1" t="s">
        <v>642</v>
      </c>
      <c r="H386" s="1" t="s">
        <v>16</v>
      </c>
      <c r="I386">
        <v>88</v>
      </c>
      <c r="J386">
        <v>1</v>
      </c>
    </row>
    <row r="387" spans="1:10">
      <c r="A387" t="s">
        <v>643</v>
      </c>
      <c r="B387" s="1" t="s">
        <v>644</v>
      </c>
      <c r="C387" s="1" t="s">
        <v>25</v>
      </c>
      <c r="D387" s="1" t="s">
        <v>37</v>
      </c>
      <c r="E387" s="1">
        <v>2015</v>
      </c>
      <c r="F387" s="1" t="s">
        <v>14</v>
      </c>
      <c r="G387" s="1" t="s">
        <v>645</v>
      </c>
      <c r="H387" s="1" t="s">
        <v>16</v>
      </c>
      <c r="I387">
        <v>92</v>
      </c>
      <c r="J387">
        <v>3</v>
      </c>
    </row>
    <row r="388" spans="1:10" hidden="1">
      <c r="A388" t="s">
        <v>646</v>
      </c>
      <c r="B388" s="1" t="s">
        <v>647</v>
      </c>
      <c r="C388" s="1" t="s">
        <v>12</v>
      </c>
      <c r="D388" s="1" t="s">
        <v>37</v>
      </c>
      <c r="E388" s="1">
        <v>2021</v>
      </c>
      <c r="F388" s="1" t="s">
        <v>14</v>
      </c>
      <c r="G388" s="1" t="s">
        <v>648</v>
      </c>
      <c r="H388" s="1" t="s">
        <v>22</v>
      </c>
    </row>
    <row r="389" spans="1:10">
      <c r="A389" t="s">
        <v>649</v>
      </c>
      <c r="B389" s="1" t="s">
        <v>650</v>
      </c>
      <c r="C389" s="1" t="s">
        <v>25</v>
      </c>
      <c r="D389" s="1" t="s">
        <v>37</v>
      </c>
      <c r="E389" s="1">
        <v>2020</v>
      </c>
      <c r="F389" s="1" t="s">
        <v>14</v>
      </c>
      <c r="G389" s="1" t="s">
        <v>651</v>
      </c>
      <c r="H389" s="1" t="s">
        <v>16</v>
      </c>
      <c r="I389">
        <v>20</v>
      </c>
      <c r="J389">
        <v>13</v>
      </c>
    </row>
    <row r="390" spans="1:10">
      <c r="A390" t="s">
        <v>652</v>
      </c>
      <c r="B390" s="1" t="s">
        <v>653</v>
      </c>
      <c r="C390" s="1" t="s">
        <v>12</v>
      </c>
      <c r="D390" s="1" t="s">
        <v>30</v>
      </c>
      <c r="E390" s="1">
        <v>2021</v>
      </c>
      <c r="F390" s="1" t="s">
        <v>14</v>
      </c>
      <c r="G390" s="1" t="s">
        <v>654</v>
      </c>
      <c r="H390" s="1" t="s">
        <v>16</v>
      </c>
      <c r="I390">
        <v>21</v>
      </c>
      <c r="J390">
        <v>7</v>
      </c>
    </row>
    <row r="391" spans="1:10" hidden="1">
      <c r="A391" t="s">
        <v>655</v>
      </c>
      <c r="B391" s="1" t="s">
        <v>656</v>
      </c>
      <c r="C391" s="1" t="s">
        <v>25</v>
      </c>
      <c r="D391" s="1" t="s">
        <v>30</v>
      </c>
      <c r="E391" s="1">
        <v>2018</v>
      </c>
      <c r="F391" s="1" t="s">
        <v>14</v>
      </c>
      <c r="G391" s="1" t="s">
        <v>657</v>
      </c>
      <c r="H391" s="1" t="s">
        <v>22</v>
      </c>
    </row>
    <row r="392" spans="1:10">
      <c r="A392" t="s">
        <v>658</v>
      </c>
      <c r="B392" s="1" t="s">
        <v>656</v>
      </c>
      <c r="C392" s="1" t="s">
        <v>25</v>
      </c>
      <c r="D392" s="1" t="s">
        <v>26</v>
      </c>
      <c r="E392" s="1">
        <v>2019</v>
      </c>
      <c r="F392" s="1" t="s">
        <v>14</v>
      </c>
      <c r="G392" s="1" t="s">
        <v>659</v>
      </c>
      <c r="H392" s="1" t="s">
        <v>16</v>
      </c>
      <c r="I392">
        <v>78</v>
      </c>
      <c r="J392">
        <v>17</v>
      </c>
    </row>
    <row r="393" spans="1:10">
      <c r="A393" t="s">
        <v>660</v>
      </c>
      <c r="B393" s="1" t="s">
        <v>661</v>
      </c>
      <c r="C393" s="1" t="s">
        <v>12</v>
      </c>
      <c r="D393" s="1" t="s">
        <v>37</v>
      </c>
      <c r="E393" s="1">
        <v>2016</v>
      </c>
      <c r="F393" s="1" t="s">
        <v>14</v>
      </c>
      <c r="G393" s="1" t="s">
        <v>662</v>
      </c>
      <c r="H393" s="1" t="s">
        <v>16</v>
      </c>
      <c r="I393">
        <v>72</v>
      </c>
      <c r="J393">
        <v>17</v>
      </c>
    </row>
    <row r="394" spans="1:10" hidden="1">
      <c r="A394" s="1" t="s">
        <v>663</v>
      </c>
      <c r="B394" s="1" t="s">
        <v>656</v>
      </c>
      <c r="C394" s="1" t="s">
        <v>25</v>
      </c>
      <c r="D394" s="1" t="s">
        <v>26</v>
      </c>
      <c r="E394" s="1">
        <v>2019</v>
      </c>
      <c r="F394" s="1" t="s">
        <v>14</v>
      </c>
      <c r="G394" s="1" t="s">
        <v>664</v>
      </c>
      <c r="H394" s="1" t="s">
        <v>22</v>
      </c>
    </row>
    <row r="395" spans="1:10">
      <c r="A395" t="s">
        <v>665</v>
      </c>
      <c r="B395" s="1" t="s">
        <v>666</v>
      </c>
      <c r="C395" s="1" t="s">
        <v>12</v>
      </c>
      <c r="D395" s="1" t="s">
        <v>37</v>
      </c>
      <c r="E395" s="1">
        <v>2015</v>
      </c>
      <c r="F395" s="1" t="s">
        <v>14</v>
      </c>
      <c r="G395" s="1" t="s">
        <v>667</v>
      </c>
      <c r="H395" s="1" t="s">
        <v>16</v>
      </c>
      <c r="I395">
        <v>78</v>
      </c>
      <c r="J395">
        <v>3</v>
      </c>
    </row>
    <row r="396" spans="1:10">
      <c r="A396" t="s">
        <v>668</v>
      </c>
      <c r="B396" s="1" t="s">
        <v>666</v>
      </c>
      <c r="C396" s="1" t="s">
        <v>12</v>
      </c>
      <c r="D396" s="1" t="s">
        <v>26</v>
      </c>
      <c r="E396" s="1">
        <v>2021</v>
      </c>
      <c r="F396" s="1" t="s">
        <v>14</v>
      </c>
      <c r="G396" s="1" t="s">
        <v>669</v>
      </c>
      <c r="H396" s="1" t="s">
        <v>16</v>
      </c>
      <c r="I396">
        <v>49</v>
      </c>
      <c r="J396">
        <v>19</v>
      </c>
    </row>
    <row r="397" spans="1:10" hidden="1">
      <c r="A397" t="s">
        <v>670</v>
      </c>
      <c r="B397" s="1" t="s">
        <v>666</v>
      </c>
      <c r="C397" s="1" t="s">
        <v>12</v>
      </c>
      <c r="D397" s="1" t="s">
        <v>37</v>
      </c>
      <c r="E397" s="1">
        <v>2022</v>
      </c>
      <c r="F397" s="1" t="s">
        <v>14</v>
      </c>
      <c r="G397" s="1" t="s">
        <v>671</v>
      </c>
      <c r="H397" s="1" t="s">
        <v>22</v>
      </c>
    </row>
    <row r="398" spans="1:10">
      <c r="A398" t="s">
        <v>672</v>
      </c>
      <c r="B398" s="1" t="s">
        <v>673</v>
      </c>
      <c r="C398" s="1" t="s">
        <v>12</v>
      </c>
      <c r="D398" s="1" t="s">
        <v>37</v>
      </c>
      <c r="E398" s="1">
        <v>2020</v>
      </c>
      <c r="F398" s="1" t="s">
        <v>14</v>
      </c>
      <c r="G398" s="1" t="s">
        <v>674</v>
      </c>
      <c r="H398" s="1" t="s">
        <v>16</v>
      </c>
      <c r="I398">
        <v>33</v>
      </c>
      <c r="J398">
        <v>1</v>
      </c>
    </row>
    <row r="399" spans="1:10">
      <c r="A399" t="s">
        <v>672</v>
      </c>
      <c r="B399" s="1" t="s">
        <v>673</v>
      </c>
      <c r="C399" s="1" t="s">
        <v>12</v>
      </c>
      <c r="D399" s="1" t="s">
        <v>37</v>
      </c>
      <c r="E399" s="1">
        <v>2016</v>
      </c>
      <c r="F399" s="1" t="s">
        <v>14</v>
      </c>
      <c r="G399" s="1" t="s">
        <v>675</v>
      </c>
      <c r="H399" s="1" t="s">
        <v>16</v>
      </c>
      <c r="I399">
        <v>85</v>
      </c>
      <c r="J399">
        <v>13</v>
      </c>
    </row>
    <row r="400" spans="1:10" hidden="1">
      <c r="A400" t="s">
        <v>670</v>
      </c>
      <c r="B400" s="1" t="s">
        <v>676</v>
      </c>
      <c r="C400" s="1" t="s">
        <v>12</v>
      </c>
      <c r="D400" s="1" t="s">
        <v>37</v>
      </c>
      <c r="E400" s="1">
        <v>2022</v>
      </c>
      <c r="F400" s="1" t="s">
        <v>14</v>
      </c>
      <c r="G400" s="1" t="s">
        <v>677</v>
      </c>
      <c r="H400" s="1" t="s">
        <v>22</v>
      </c>
    </row>
    <row r="401" spans="1:10">
      <c r="A401" t="s">
        <v>672</v>
      </c>
      <c r="B401" s="1" t="s">
        <v>678</v>
      </c>
      <c r="C401" s="1" t="s">
        <v>25</v>
      </c>
      <c r="D401" s="1" t="s">
        <v>37</v>
      </c>
      <c r="E401" s="1">
        <v>2021</v>
      </c>
      <c r="F401" s="1" t="s">
        <v>14</v>
      </c>
      <c r="G401" s="1" t="s">
        <v>679</v>
      </c>
      <c r="H401" s="1" t="s">
        <v>16</v>
      </c>
      <c r="I401">
        <v>97</v>
      </c>
      <c r="J401">
        <v>7</v>
      </c>
    </row>
    <row r="402" spans="1:10">
      <c r="A402" t="s">
        <v>680</v>
      </c>
      <c r="B402" s="1" t="s">
        <v>681</v>
      </c>
      <c r="C402" s="1" t="s">
        <v>25</v>
      </c>
      <c r="D402" s="1" t="s">
        <v>37</v>
      </c>
      <c r="E402" s="1">
        <v>2016</v>
      </c>
      <c r="F402" s="1" t="s">
        <v>14</v>
      </c>
      <c r="G402" s="1" t="s">
        <v>682</v>
      </c>
      <c r="H402" s="1" t="s">
        <v>16</v>
      </c>
      <c r="I402">
        <v>23</v>
      </c>
      <c r="J402">
        <v>11</v>
      </c>
    </row>
    <row r="403" spans="1:10" hidden="1">
      <c r="A403" t="s">
        <v>680</v>
      </c>
      <c r="B403" s="1" t="s">
        <v>683</v>
      </c>
      <c r="C403" s="1" t="s">
        <v>12</v>
      </c>
      <c r="D403" s="1" t="s">
        <v>37</v>
      </c>
      <c r="E403" s="1">
        <v>2022</v>
      </c>
      <c r="F403" s="1" t="s">
        <v>14</v>
      </c>
      <c r="G403" s="1" t="s">
        <v>684</v>
      </c>
      <c r="H403" s="1" t="s">
        <v>22</v>
      </c>
    </row>
    <row r="404" spans="1:10">
      <c r="A404" t="s">
        <v>685</v>
      </c>
      <c r="B404" s="1" t="s">
        <v>683</v>
      </c>
      <c r="C404" s="1" t="s">
        <v>12</v>
      </c>
      <c r="D404" s="1" t="s">
        <v>37</v>
      </c>
      <c r="E404" s="1">
        <v>2020</v>
      </c>
      <c r="F404" s="1" t="s">
        <v>14</v>
      </c>
      <c r="G404" s="1" t="s">
        <v>686</v>
      </c>
      <c r="H404" s="1" t="s">
        <v>16</v>
      </c>
      <c r="I404">
        <v>42</v>
      </c>
      <c r="J404">
        <v>10</v>
      </c>
    </row>
    <row r="405" spans="1:10">
      <c r="A405" t="s">
        <v>687</v>
      </c>
      <c r="B405" s="1" t="s">
        <v>688</v>
      </c>
      <c r="C405" s="1" t="s">
        <v>12</v>
      </c>
      <c r="D405" s="1" t="s">
        <v>37</v>
      </c>
      <c r="E405" s="1">
        <v>2022</v>
      </c>
      <c r="F405" s="1" t="s">
        <v>14</v>
      </c>
      <c r="G405" s="1" t="s">
        <v>689</v>
      </c>
      <c r="H405" s="1" t="s">
        <v>16</v>
      </c>
      <c r="I405">
        <v>68</v>
      </c>
      <c r="J405">
        <v>19</v>
      </c>
    </row>
    <row r="406" spans="1:10" hidden="1">
      <c r="A406" t="s">
        <v>690</v>
      </c>
      <c r="B406" s="1" t="s">
        <v>691</v>
      </c>
      <c r="C406" s="1" t="s">
        <v>25</v>
      </c>
      <c r="D406" s="1" t="s">
        <v>37</v>
      </c>
      <c r="E406" s="1">
        <v>2020</v>
      </c>
      <c r="F406" s="1" t="s">
        <v>14</v>
      </c>
      <c r="G406" s="1" t="s">
        <v>692</v>
      </c>
      <c r="H406" s="1" t="s">
        <v>22</v>
      </c>
    </row>
    <row r="407" spans="1:10">
      <c r="A407" t="s">
        <v>693</v>
      </c>
      <c r="B407" s="1" t="s">
        <v>694</v>
      </c>
      <c r="C407" s="1" t="s">
        <v>25</v>
      </c>
      <c r="D407" s="1" t="s">
        <v>37</v>
      </c>
      <c r="E407" s="1">
        <v>2020</v>
      </c>
      <c r="F407" s="1" t="s">
        <v>14</v>
      </c>
      <c r="G407" s="1" t="s">
        <v>695</v>
      </c>
      <c r="H407" s="1" t="s">
        <v>16</v>
      </c>
      <c r="I407">
        <v>28</v>
      </c>
      <c r="J407">
        <v>5</v>
      </c>
    </row>
    <row r="408" spans="1:10">
      <c r="A408" t="s">
        <v>696</v>
      </c>
      <c r="B408" s="1" t="s">
        <v>697</v>
      </c>
      <c r="C408" s="1" t="s">
        <v>12</v>
      </c>
      <c r="D408" s="1" t="s">
        <v>26</v>
      </c>
      <c r="E408" s="1">
        <v>2020</v>
      </c>
      <c r="F408" s="1" t="s">
        <v>14</v>
      </c>
      <c r="G408" s="2" t="s">
        <v>698</v>
      </c>
      <c r="H408" s="1" t="s">
        <v>16</v>
      </c>
      <c r="I408">
        <v>25</v>
      </c>
      <c r="J408">
        <v>18</v>
      </c>
    </row>
    <row r="409" spans="1:10" hidden="1">
      <c r="A409" t="s">
        <v>696</v>
      </c>
      <c r="B409" s="1" t="s">
        <v>699</v>
      </c>
      <c r="C409" s="1" t="s">
        <v>12</v>
      </c>
      <c r="D409" s="1" t="s">
        <v>37</v>
      </c>
      <c r="E409" s="1">
        <v>2021</v>
      </c>
      <c r="F409" s="1" t="s">
        <v>14</v>
      </c>
      <c r="G409" s="1" t="s">
        <v>698</v>
      </c>
      <c r="H409" s="1" t="s">
        <v>22</v>
      </c>
    </row>
    <row r="410" spans="1:10">
      <c r="A410" t="s">
        <v>693</v>
      </c>
      <c r="B410" s="1" t="s">
        <v>700</v>
      </c>
      <c r="C410" s="1" t="s">
        <v>12</v>
      </c>
      <c r="D410" s="1" t="s">
        <v>30</v>
      </c>
      <c r="E410" s="1">
        <v>2016</v>
      </c>
      <c r="F410" s="1" t="s">
        <v>14</v>
      </c>
      <c r="G410" s="1" t="s">
        <v>701</v>
      </c>
      <c r="H410" s="1" t="s">
        <v>16</v>
      </c>
      <c r="I410">
        <v>33</v>
      </c>
      <c r="J410">
        <v>8</v>
      </c>
    </row>
    <row r="411" spans="1:10">
      <c r="A411" t="s">
        <v>693</v>
      </c>
      <c r="B411" s="1" t="s">
        <v>702</v>
      </c>
      <c r="C411" s="1" t="s">
        <v>25</v>
      </c>
      <c r="D411" s="1" t="s">
        <v>37</v>
      </c>
      <c r="E411" s="1">
        <v>2018</v>
      </c>
      <c r="F411" s="1" t="s">
        <v>14</v>
      </c>
      <c r="G411" s="1" t="s">
        <v>703</v>
      </c>
      <c r="H411" s="1" t="s">
        <v>16</v>
      </c>
      <c r="I411">
        <v>76</v>
      </c>
      <c r="J411">
        <v>17</v>
      </c>
    </row>
    <row r="412" spans="1:10" hidden="1">
      <c r="A412" t="s">
        <v>696</v>
      </c>
      <c r="B412" s="1" t="s">
        <v>704</v>
      </c>
      <c r="C412" s="1" t="s">
        <v>25</v>
      </c>
      <c r="D412" s="1" t="s">
        <v>37</v>
      </c>
      <c r="E412" s="1">
        <v>2022</v>
      </c>
      <c r="F412" s="1" t="s">
        <v>53</v>
      </c>
      <c r="G412" s="1" t="s">
        <v>705</v>
      </c>
      <c r="H412" s="1" t="s">
        <v>22</v>
      </c>
    </row>
    <row r="413" spans="1:10">
      <c r="A413" t="s">
        <v>693</v>
      </c>
      <c r="B413" s="1" t="s">
        <v>704</v>
      </c>
      <c r="C413" s="1" t="s">
        <v>25</v>
      </c>
      <c r="D413" s="1" t="s">
        <v>37</v>
      </c>
      <c r="E413" s="1">
        <v>2021</v>
      </c>
      <c r="F413" s="1" t="s">
        <v>14</v>
      </c>
      <c r="G413" s="1" t="s">
        <v>706</v>
      </c>
      <c r="H413" s="1" t="s">
        <v>16</v>
      </c>
      <c r="I413">
        <v>53</v>
      </c>
      <c r="J413">
        <v>1</v>
      </c>
    </row>
    <row r="414" spans="1:10" ht="15" hidden="1">
      <c r="A414" t="s">
        <v>707</v>
      </c>
      <c r="B414" s="3"/>
      <c r="C414" s="3"/>
      <c r="D414" s="3"/>
      <c r="E414" s="3"/>
    </row>
    <row r="415" spans="1:10" ht="15" hidden="1">
      <c r="A415" t="s">
        <v>708</v>
      </c>
      <c r="B415" s="3"/>
      <c r="C415" s="3"/>
      <c r="D415" s="3"/>
      <c r="E415" s="3"/>
    </row>
    <row r="416" spans="1:10" ht="15" hidden="1">
      <c r="A416" t="s">
        <v>709</v>
      </c>
      <c r="B416" s="3"/>
      <c r="C416" s="3"/>
      <c r="D416" s="3"/>
      <c r="E416" s="3"/>
    </row>
    <row r="417" spans="1:5" ht="15" hidden="1">
      <c r="A417" t="s">
        <v>710</v>
      </c>
      <c r="B417" s="3"/>
      <c r="C417" s="3"/>
      <c r="D417" s="3"/>
      <c r="E417" s="3"/>
    </row>
    <row r="418" spans="1:5" ht="15" hidden="1">
      <c r="A418" t="s">
        <v>711</v>
      </c>
      <c r="B418" s="3"/>
      <c r="C418" s="3"/>
      <c r="D418" s="3"/>
      <c r="E418" s="3"/>
    </row>
    <row r="419" spans="1:5" ht="15" hidden="1">
      <c r="A419" t="s">
        <v>712</v>
      </c>
      <c r="B419" s="3"/>
      <c r="C419" s="3"/>
      <c r="D419" s="3"/>
      <c r="E419" s="3"/>
    </row>
    <row r="420" spans="1:5" ht="15" hidden="1">
      <c r="A420" t="s">
        <v>713</v>
      </c>
      <c r="B420" s="3"/>
      <c r="C420" s="3"/>
      <c r="D420" s="3"/>
      <c r="E420" s="3"/>
    </row>
    <row r="421" spans="1:5" hidden="1">
      <c r="A421" t="s">
        <v>714</v>
      </c>
    </row>
    <row r="422" spans="1:5" hidden="1">
      <c r="A422" t="s">
        <v>715</v>
      </c>
    </row>
    <row r="423" spans="1:5" hidden="1">
      <c r="A423" t="s">
        <v>716</v>
      </c>
    </row>
    <row r="424" spans="1:5" hidden="1">
      <c r="A424" t="s">
        <v>717</v>
      </c>
    </row>
    <row r="425" spans="1:5" hidden="1">
      <c r="A425" t="s">
        <v>716</v>
      </c>
    </row>
    <row r="426" spans="1:5" hidden="1">
      <c r="A426" t="s">
        <v>718</v>
      </c>
    </row>
    <row r="427" spans="1:5" hidden="1">
      <c r="A427" t="s">
        <v>719</v>
      </c>
    </row>
    <row r="428" spans="1:5" hidden="1"/>
    <row r="429" spans="1:5" hidden="1"/>
    <row r="430" spans="1:5" hidden="1"/>
    <row r="431" spans="1:5" hidden="1"/>
    <row r="432" spans="1:5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spans="3:7" hidden="1"/>
    <row r="450" spans="3:7" hidden="1"/>
    <row r="451" spans="3:7" hidden="1"/>
    <row r="452" spans="3:7" hidden="1"/>
    <row r="453" spans="3:7" hidden="1"/>
    <row r="454" spans="3:7" hidden="1"/>
    <row r="455" spans="3:7" hidden="1"/>
    <row r="456" spans="3:7" hidden="1"/>
    <row r="457" spans="3:7" hidden="1"/>
    <row r="458" spans="3:7" hidden="1"/>
    <row r="459" spans="3:7" hidden="1"/>
    <row r="460" spans="3:7" hidden="1"/>
    <row r="461" spans="3:7" hidden="1">
      <c r="C461" s="1" t="s">
        <v>25</v>
      </c>
      <c r="D461" s="1" t="s">
        <v>30</v>
      </c>
      <c r="E461" s="1">
        <v>2021</v>
      </c>
      <c r="F461" s="1" t="s">
        <v>14</v>
      </c>
      <c r="G461" s="1" t="s">
        <v>186</v>
      </c>
    </row>
    <row r="462" spans="3:7" hidden="1">
      <c r="C462" s="1" t="s">
        <v>12</v>
      </c>
      <c r="D462" s="1" t="s">
        <v>37</v>
      </c>
      <c r="E462" s="1">
        <v>2020</v>
      </c>
      <c r="F462" s="1" t="s">
        <v>14</v>
      </c>
      <c r="G462" s="1" t="s">
        <v>424</v>
      </c>
    </row>
    <row r="463" spans="3:7" hidden="1">
      <c r="C463" s="1" t="s">
        <v>12</v>
      </c>
      <c r="D463" s="1" t="s">
        <v>26</v>
      </c>
      <c r="E463" s="1">
        <v>2020</v>
      </c>
      <c r="F463" s="1" t="s">
        <v>53</v>
      </c>
      <c r="G463" s="1" t="s">
        <v>111</v>
      </c>
    </row>
    <row r="464" spans="3:7" hidden="1">
      <c r="C464" s="1" t="s">
        <v>12</v>
      </c>
      <c r="D464" s="1" t="s">
        <v>37</v>
      </c>
      <c r="E464" s="1">
        <v>2022</v>
      </c>
      <c r="F464" s="1" t="s">
        <v>14</v>
      </c>
      <c r="G464" s="1" t="s">
        <v>426</v>
      </c>
    </row>
    <row r="465" spans="3:7" hidden="1">
      <c r="C465" s="1" t="s">
        <v>25</v>
      </c>
      <c r="D465" s="1" t="s">
        <v>26</v>
      </c>
      <c r="E465" s="1">
        <v>2021</v>
      </c>
      <c r="F465" s="1" t="s">
        <v>14</v>
      </c>
      <c r="G465" s="1" t="s">
        <v>206</v>
      </c>
    </row>
    <row r="466" spans="3:7" hidden="1">
      <c r="C466" s="1" t="s">
        <v>25</v>
      </c>
      <c r="D466" s="1" t="s">
        <v>37</v>
      </c>
      <c r="E466" s="1">
        <v>2021</v>
      </c>
      <c r="F466" s="1" t="s">
        <v>14</v>
      </c>
      <c r="G466" s="1" t="s">
        <v>426</v>
      </c>
    </row>
    <row r="467" spans="3:7" hidden="1">
      <c r="C467" s="1" t="s">
        <v>25</v>
      </c>
      <c r="D467" s="1" t="s">
        <v>37</v>
      </c>
      <c r="E467" s="1">
        <v>2021</v>
      </c>
      <c r="F467" s="1" t="s">
        <v>14</v>
      </c>
      <c r="G467" s="1" t="s">
        <v>111</v>
      </c>
    </row>
    <row r="468" spans="3:7" hidden="1">
      <c r="C468" s="1" t="s">
        <v>25</v>
      </c>
      <c r="D468" s="1" t="s">
        <v>37</v>
      </c>
      <c r="E468" s="1">
        <v>2022</v>
      </c>
      <c r="F468" s="1" t="s">
        <v>14</v>
      </c>
      <c r="G468" s="1" t="s">
        <v>223</v>
      </c>
    </row>
    <row r="469" spans="3:7" hidden="1">
      <c r="C469" s="1" t="s">
        <v>12</v>
      </c>
      <c r="D469" s="1" t="s">
        <v>37</v>
      </c>
      <c r="E469" s="1">
        <v>2022</v>
      </c>
      <c r="F469" s="1" t="s">
        <v>14</v>
      </c>
      <c r="G469" s="1" t="s">
        <v>382</v>
      </c>
    </row>
    <row r="470" spans="3:7" hidden="1">
      <c r="C470" s="1" t="s">
        <v>12</v>
      </c>
      <c r="D470" s="1" t="s">
        <v>37</v>
      </c>
      <c r="E470" s="1">
        <v>2018</v>
      </c>
      <c r="F470" s="1" t="s">
        <v>14</v>
      </c>
      <c r="G470" s="1" t="s">
        <v>720</v>
      </c>
    </row>
    <row r="471" spans="3:7" hidden="1">
      <c r="C471" s="1" t="s">
        <v>12</v>
      </c>
      <c r="D471" s="1" t="s">
        <v>37</v>
      </c>
      <c r="E471" s="1">
        <v>2015</v>
      </c>
      <c r="F471" s="1" t="s">
        <v>14</v>
      </c>
      <c r="G471" s="1" t="s">
        <v>382</v>
      </c>
    </row>
    <row r="472" spans="3:7" hidden="1">
      <c r="C472" s="1" t="s">
        <v>25</v>
      </c>
      <c r="D472" s="1" t="s">
        <v>37</v>
      </c>
      <c r="E472" s="1">
        <v>2020</v>
      </c>
      <c r="F472" s="1" t="s">
        <v>14</v>
      </c>
      <c r="G472" s="1" t="s">
        <v>223</v>
      </c>
    </row>
    <row r="473" spans="3:7" hidden="1">
      <c r="C473" s="1" t="s">
        <v>25</v>
      </c>
      <c r="D473" s="1" t="s">
        <v>30</v>
      </c>
      <c r="E473" s="1">
        <v>2020</v>
      </c>
      <c r="F473" s="1" t="s">
        <v>14</v>
      </c>
      <c r="G473" s="1" t="s">
        <v>454</v>
      </c>
    </row>
    <row r="474" spans="3:7" hidden="1">
      <c r="C474" s="1" t="s">
        <v>25</v>
      </c>
      <c r="D474" s="1" t="s">
        <v>37</v>
      </c>
      <c r="E474" s="1">
        <v>2021</v>
      </c>
      <c r="F474" s="1" t="s">
        <v>14</v>
      </c>
      <c r="G474" s="1" t="s">
        <v>426</v>
      </c>
    </row>
    <row r="475" spans="3:7" hidden="1">
      <c r="C475" s="1" t="s">
        <v>25</v>
      </c>
      <c r="D475" s="1" t="s">
        <v>26</v>
      </c>
      <c r="E475" s="1">
        <v>2021</v>
      </c>
      <c r="F475" s="1" t="s">
        <v>14</v>
      </c>
      <c r="G475" s="1" t="s">
        <v>426</v>
      </c>
    </row>
    <row r="476" spans="3:7" hidden="1">
      <c r="C476" s="1" t="s">
        <v>25</v>
      </c>
      <c r="D476" s="1" t="s">
        <v>37</v>
      </c>
      <c r="E476" s="1">
        <v>2018</v>
      </c>
      <c r="F476" s="1" t="s">
        <v>14</v>
      </c>
      <c r="G476" s="1" t="s">
        <v>721</v>
      </c>
    </row>
    <row r="477" spans="3:7" hidden="1">
      <c r="C477" s="1" t="s">
        <v>25</v>
      </c>
      <c r="D477" s="1" t="s">
        <v>37</v>
      </c>
      <c r="E477" s="1">
        <v>2022</v>
      </c>
      <c r="F477" s="1" t="s">
        <v>14</v>
      </c>
      <c r="G477" s="1" t="s">
        <v>426</v>
      </c>
    </row>
    <row r="478" spans="3:7" hidden="1">
      <c r="C478" s="1" t="s">
        <v>25</v>
      </c>
      <c r="D478" s="1" t="s">
        <v>37</v>
      </c>
      <c r="E478" s="1">
        <v>2017</v>
      </c>
      <c r="F478" s="1" t="s">
        <v>14</v>
      </c>
      <c r="G478" s="1" t="s">
        <v>111</v>
      </c>
    </row>
    <row r="479" spans="3:7" hidden="1">
      <c r="C479" s="1" t="s">
        <v>12</v>
      </c>
      <c r="D479" s="1" t="s">
        <v>37</v>
      </c>
      <c r="E479" s="1">
        <v>2022</v>
      </c>
      <c r="F479" s="1" t="s">
        <v>14</v>
      </c>
      <c r="G479" s="1" t="s">
        <v>382</v>
      </c>
    </row>
    <row r="480" spans="3:7" hidden="1">
      <c r="C480" s="1" t="s">
        <v>12</v>
      </c>
      <c r="D480" s="1" t="s">
        <v>37</v>
      </c>
      <c r="E480" s="1">
        <v>2015</v>
      </c>
      <c r="F480" s="1" t="s">
        <v>14</v>
      </c>
      <c r="G480" s="1" t="s">
        <v>549</v>
      </c>
    </row>
    <row r="481" spans="3:7" hidden="1">
      <c r="C481" s="1" t="s">
        <v>25</v>
      </c>
      <c r="D481" s="1" t="s">
        <v>37</v>
      </c>
      <c r="E481" s="1">
        <v>2018</v>
      </c>
      <c r="F481" s="1" t="s">
        <v>14</v>
      </c>
      <c r="G481" s="1" t="s">
        <v>722</v>
      </c>
    </row>
    <row r="482" spans="3:7" hidden="1">
      <c r="C482" s="1" t="s">
        <v>25</v>
      </c>
      <c r="D482" s="1" t="s">
        <v>37</v>
      </c>
      <c r="E482" s="1">
        <v>2019</v>
      </c>
      <c r="F482" s="1" t="s">
        <v>14</v>
      </c>
      <c r="G482" s="1" t="s">
        <v>15</v>
      </c>
    </row>
    <row r="483" spans="3:7" hidden="1">
      <c r="C483" s="1" t="s">
        <v>25</v>
      </c>
      <c r="D483" s="1" t="s">
        <v>26</v>
      </c>
      <c r="E483" s="1">
        <v>2021</v>
      </c>
      <c r="F483" s="1" t="s">
        <v>14</v>
      </c>
      <c r="G483" s="1" t="s">
        <v>382</v>
      </c>
    </row>
    <row r="484" spans="3:7" hidden="1">
      <c r="C484" s="1" t="s">
        <v>12</v>
      </c>
      <c r="D484" s="1" t="s">
        <v>37</v>
      </c>
      <c r="E484" s="1">
        <v>2019</v>
      </c>
      <c r="F484" s="1" t="s">
        <v>14</v>
      </c>
      <c r="G484" s="1" t="s">
        <v>723</v>
      </c>
    </row>
    <row r="485" spans="3:7" hidden="1">
      <c r="C485" s="1" t="s">
        <v>25</v>
      </c>
      <c r="D485" s="1" t="s">
        <v>37</v>
      </c>
      <c r="E485" s="1">
        <v>2020</v>
      </c>
      <c r="F485" s="1" t="s">
        <v>14</v>
      </c>
      <c r="G485" s="1" t="s">
        <v>39</v>
      </c>
    </row>
    <row r="486" spans="3:7" hidden="1">
      <c r="C486" s="1" t="s">
        <v>25</v>
      </c>
      <c r="D486" s="1" t="s">
        <v>30</v>
      </c>
      <c r="E486" s="1">
        <v>2021</v>
      </c>
      <c r="F486" s="1" t="s">
        <v>14</v>
      </c>
      <c r="G486" s="1" t="s">
        <v>186</v>
      </c>
    </row>
    <row r="487" spans="3:7" hidden="1">
      <c r="C487" s="1" t="s">
        <v>25</v>
      </c>
      <c r="D487" s="1" t="s">
        <v>37</v>
      </c>
      <c r="E487" s="1">
        <v>2022</v>
      </c>
      <c r="F487" s="1" t="s">
        <v>14</v>
      </c>
      <c r="G487" s="1" t="s">
        <v>426</v>
      </c>
    </row>
    <row r="488" spans="3:7" hidden="1">
      <c r="C488" s="1" t="s">
        <v>25</v>
      </c>
      <c r="D488" s="1" t="s">
        <v>37</v>
      </c>
      <c r="E488" s="1">
        <v>2019</v>
      </c>
      <c r="F488" s="1" t="s">
        <v>14</v>
      </c>
      <c r="G488" s="1" t="s">
        <v>426</v>
      </c>
    </row>
    <row r="489" spans="3:7" hidden="1">
      <c r="C489" s="1" t="s">
        <v>25</v>
      </c>
      <c r="D489" s="1" t="s">
        <v>37</v>
      </c>
      <c r="E489" s="1">
        <v>2019</v>
      </c>
      <c r="F489" s="1" t="s">
        <v>14</v>
      </c>
      <c r="G489" s="1" t="s">
        <v>85</v>
      </c>
    </row>
    <row r="490" spans="3:7" hidden="1">
      <c r="C490" s="1" t="s">
        <v>25</v>
      </c>
      <c r="D490" s="1" t="s">
        <v>26</v>
      </c>
      <c r="E490" s="1">
        <v>2019</v>
      </c>
      <c r="F490" s="1" t="s">
        <v>14</v>
      </c>
      <c r="G490" s="1" t="s">
        <v>724</v>
      </c>
    </row>
    <row r="491" spans="3:7" hidden="1">
      <c r="C491" s="1" t="s">
        <v>12</v>
      </c>
      <c r="D491" s="1" t="s">
        <v>37</v>
      </c>
      <c r="E491" s="1">
        <v>2019</v>
      </c>
      <c r="F491" s="1" t="s">
        <v>14</v>
      </c>
      <c r="G491" s="1" t="s">
        <v>99</v>
      </c>
    </row>
    <row r="492" spans="3:7" hidden="1">
      <c r="C492" s="1" t="s">
        <v>25</v>
      </c>
      <c r="D492" s="1" t="s">
        <v>64</v>
      </c>
      <c r="E492" s="1">
        <v>2020</v>
      </c>
      <c r="F492" s="1" t="s">
        <v>14</v>
      </c>
      <c r="G492" s="1" t="s">
        <v>725</v>
      </c>
    </row>
    <row r="493" spans="3:7" hidden="1">
      <c r="C493" s="1" t="s">
        <v>12</v>
      </c>
      <c r="D493" s="1" t="s">
        <v>37</v>
      </c>
      <c r="E493" s="1">
        <v>2020</v>
      </c>
      <c r="F493" s="1" t="s">
        <v>14</v>
      </c>
      <c r="G493" s="1" t="s">
        <v>527</v>
      </c>
    </row>
    <row r="494" spans="3:7" hidden="1">
      <c r="C494" s="1" t="s">
        <v>25</v>
      </c>
      <c r="D494" s="1" t="s">
        <v>64</v>
      </c>
      <c r="E494" s="1">
        <v>2015</v>
      </c>
      <c r="F494" s="1" t="s">
        <v>14</v>
      </c>
      <c r="G494" s="1" t="s">
        <v>726</v>
      </c>
    </row>
    <row r="495" spans="3:7" hidden="1">
      <c r="C495" s="1" t="s">
        <v>25</v>
      </c>
      <c r="D495" s="1" t="s">
        <v>37</v>
      </c>
      <c r="E495" s="1">
        <v>2022</v>
      </c>
      <c r="F495" s="1" t="s">
        <v>14</v>
      </c>
      <c r="G495" s="1" t="s">
        <v>452</v>
      </c>
    </row>
  </sheetData>
  <autoFilter ref="A1:J495" xr:uid="{00000000-0001-0000-0000-000000000000}">
    <filterColumn colId="7">
      <filters>
        <filter val="Yes"/>
      </filters>
    </filterColumn>
  </autoFilter>
  <sortState xmlns:xlrd2="http://schemas.microsoft.com/office/spreadsheetml/2017/richdata2" ref="G3:G413">
    <sortCondition descending="1" ref="G3:G4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6C01-7757-49BE-BE50-06BFEAE26519}">
  <sheetPr filterMode="1"/>
  <dimension ref="A1:K276"/>
  <sheetViews>
    <sheetView workbookViewId="0">
      <selection sqref="A1:XFD1048576"/>
    </sheetView>
  </sheetViews>
  <sheetFormatPr defaultRowHeight="12.75"/>
  <cols>
    <col min="10" max="10" width="14" bestFit="1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t="s">
        <v>727</v>
      </c>
    </row>
    <row r="2" spans="1:11" hidden="1">
      <c r="A2" t="s">
        <v>10</v>
      </c>
      <c r="B2" s="1" t="s">
        <v>11</v>
      </c>
      <c r="C2" s="1" t="s">
        <v>12</v>
      </c>
      <c r="D2" s="1" t="s">
        <v>13</v>
      </c>
      <c r="E2" s="1">
        <v>2021</v>
      </c>
      <c r="F2" s="1" t="s">
        <v>14</v>
      </c>
      <c r="G2" s="1" t="s">
        <v>15</v>
      </c>
      <c r="H2" s="1" t="s">
        <v>16</v>
      </c>
      <c r="I2">
        <v>53</v>
      </c>
      <c r="J2">
        <v>10</v>
      </c>
      <c r="K2">
        <f>I2*20%+J2*80%</f>
        <v>18.600000000000001</v>
      </c>
    </row>
    <row r="3" spans="1:11" hidden="1">
      <c r="A3" t="s">
        <v>17</v>
      </c>
      <c r="B3" s="1" t="s">
        <v>18</v>
      </c>
      <c r="C3" s="1" t="s">
        <v>12</v>
      </c>
      <c r="D3" s="1" t="s">
        <v>13</v>
      </c>
      <c r="E3" s="1">
        <v>2021</v>
      </c>
      <c r="F3" s="1" t="s">
        <v>14</v>
      </c>
      <c r="G3" s="2" t="s">
        <v>19</v>
      </c>
      <c r="H3" s="1" t="s">
        <v>16</v>
      </c>
      <c r="I3">
        <v>48</v>
      </c>
      <c r="J3">
        <v>3</v>
      </c>
      <c r="K3">
        <f t="shared" ref="K3:K66" si="0">I3*20%+J3*80%</f>
        <v>12.000000000000002</v>
      </c>
    </row>
    <row r="4" spans="1:11" hidden="1">
      <c r="A4" t="s">
        <v>23</v>
      </c>
      <c r="B4" s="1" t="s">
        <v>24</v>
      </c>
      <c r="C4" s="1" t="s">
        <v>25</v>
      </c>
      <c r="D4" s="1" t="s">
        <v>26</v>
      </c>
      <c r="E4" s="1">
        <v>2017</v>
      </c>
      <c r="F4" s="1" t="s">
        <v>14</v>
      </c>
      <c r="G4" s="1" t="s">
        <v>27</v>
      </c>
      <c r="H4" s="1" t="s">
        <v>16</v>
      </c>
      <c r="I4">
        <v>74</v>
      </c>
      <c r="J4">
        <v>1</v>
      </c>
      <c r="K4">
        <f t="shared" si="0"/>
        <v>15.600000000000001</v>
      </c>
    </row>
    <row r="5" spans="1:11" hidden="1">
      <c r="A5" t="s">
        <v>28</v>
      </c>
      <c r="B5" s="1" t="s">
        <v>29</v>
      </c>
      <c r="C5" s="1" t="s">
        <v>12</v>
      </c>
      <c r="D5" s="1" t="s">
        <v>30</v>
      </c>
      <c r="E5" s="1">
        <v>2017</v>
      </c>
      <c r="F5" s="1" t="s">
        <v>14</v>
      </c>
      <c r="G5" s="1" t="s">
        <v>31</v>
      </c>
      <c r="H5" s="1" t="s">
        <v>16</v>
      </c>
      <c r="I5">
        <v>27</v>
      </c>
      <c r="J5">
        <v>15</v>
      </c>
      <c r="K5">
        <f t="shared" si="0"/>
        <v>17.399999999999999</v>
      </c>
    </row>
    <row r="6" spans="1:11" hidden="1">
      <c r="A6" t="s">
        <v>35</v>
      </c>
      <c r="B6" s="1" t="s">
        <v>36</v>
      </c>
      <c r="C6" s="1" t="s">
        <v>25</v>
      </c>
      <c r="D6" s="1" t="s">
        <v>37</v>
      </c>
      <c r="E6" s="1">
        <v>2015</v>
      </c>
      <c r="F6" s="1" t="s">
        <v>14</v>
      </c>
      <c r="G6" s="1" t="s">
        <v>38</v>
      </c>
      <c r="H6" s="1" t="s">
        <v>16</v>
      </c>
      <c r="I6">
        <v>60</v>
      </c>
      <c r="J6">
        <v>20</v>
      </c>
      <c r="K6">
        <f t="shared" si="0"/>
        <v>28</v>
      </c>
    </row>
    <row r="7" spans="1:11" hidden="1">
      <c r="A7" t="s">
        <v>35</v>
      </c>
      <c r="B7" s="1" t="s">
        <v>36</v>
      </c>
      <c r="C7" s="1" t="s">
        <v>25</v>
      </c>
      <c r="D7" s="1" t="s">
        <v>37</v>
      </c>
      <c r="E7" s="1">
        <v>2021</v>
      </c>
      <c r="F7" s="1" t="s">
        <v>14</v>
      </c>
      <c r="G7" s="1" t="s">
        <v>39</v>
      </c>
      <c r="H7" s="1" t="s">
        <v>16</v>
      </c>
      <c r="I7">
        <v>100</v>
      </c>
      <c r="J7">
        <v>1</v>
      </c>
      <c r="K7">
        <f t="shared" si="0"/>
        <v>20.8</v>
      </c>
    </row>
    <row r="8" spans="1:11" hidden="1">
      <c r="A8" t="s">
        <v>41</v>
      </c>
      <c r="B8" s="1" t="s">
        <v>36</v>
      </c>
      <c r="C8" s="1" t="s">
        <v>12</v>
      </c>
      <c r="D8" s="1" t="s">
        <v>37</v>
      </c>
      <c r="E8" s="1">
        <v>2021</v>
      </c>
      <c r="F8" s="1" t="s">
        <v>14</v>
      </c>
      <c r="G8" s="1" t="s">
        <v>42</v>
      </c>
      <c r="H8" s="1" t="s">
        <v>16</v>
      </c>
      <c r="I8">
        <v>80</v>
      </c>
      <c r="J8">
        <v>1</v>
      </c>
      <c r="K8">
        <f t="shared" si="0"/>
        <v>16.8</v>
      </c>
    </row>
    <row r="9" spans="1:11" hidden="1">
      <c r="A9" t="s">
        <v>35</v>
      </c>
      <c r="B9" s="1" t="s">
        <v>43</v>
      </c>
      <c r="C9" s="1" t="s">
        <v>25</v>
      </c>
      <c r="D9" s="1" t="s">
        <v>37</v>
      </c>
      <c r="E9" s="1">
        <v>2015</v>
      </c>
      <c r="F9" s="1" t="s">
        <v>14</v>
      </c>
      <c r="G9" s="1" t="s">
        <v>44</v>
      </c>
      <c r="H9" s="1" t="s">
        <v>16</v>
      </c>
      <c r="I9">
        <v>72</v>
      </c>
      <c r="J9">
        <v>9</v>
      </c>
      <c r="K9">
        <f t="shared" si="0"/>
        <v>21.6</v>
      </c>
    </row>
    <row r="10" spans="1:11" hidden="1">
      <c r="A10" t="s">
        <v>41</v>
      </c>
      <c r="B10" s="1" t="s">
        <v>46</v>
      </c>
      <c r="C10" s="1" t="s">
        <v>25</v>
      </c>
      <c r="D10" s="1" t="s">
        <v>37</v>
      </c>
      <c r="E10" s="1">
        <v>2021</v>
      </c>
      <c r="F10" s="1" t="s">
        <v>14</v>
      </c>
      <c r="G10" s="2" t="s">
        <v>44</v>
      </c>
      <c r="H10" s="1" t="s">
        <v>16</v>
      </c>
      <c r="I10">
        <v>70</v>
      </c>
      <c r="J10">
        <v>17</v>
      </c>
      <c r="K10">
        <f t="shared" si="0"/>
        <v>27.6</v>
      </c>
    </row>
    <row r="11" spans="1:11" hidden="1">
      <c r="A11" t="s">
        <v>35</v>
      </c>
      <c r="B11" s="1" t="s">
        <v>47</v>
      </c>
      <c r="C11" s="1" t="s">
        <v>12</v>
      </c>
      <c r="D11" s="1" t="s">
        <v>37</v>
      </c>
      <c r="E11" s="1">
        <v>2021</v>
      </c>
      <c r="F11" s="1" t="s">
        <v>14</v>
      </c>
      <c r="G11" s="2" t="s">
        <v>44</v>
      </c>
      <c r="H11" s="1" t="s">
        <v>16</v>
      </c>
      <c r="I11">
        <v>38</v>
      </c>
      <c r="J11">
        <v>16</v>
      </c>
      <c r="K11">
        <f t="shared" si="0"/>
        <v>20.400000000000002</v>
      </c>
    </row>
    <row r="12" spans="1:11">
      <c r="A12" t="s">
        <v>49</v>
      </c>
      <c r="B12" s="1" t="s">
        <v>50</v>
      </c>
      <c r="C12" s="1" t="s">
        <v>12</v>
      </c>
      <c r="D12" s="1" t="s">
        <v>37</v>
      </c>
      <c r="E12" s="1">
        <v>2020</v>
      </c>
      <c r="F12" s="1" t="s">
        <v>14</v>
      </c>
      <c r="G12" s="2" t="s">
        <v>44</v>
      </c>
      <c r="H12" s="1" t="s">
        <v>16</v>
      </c>
      <c r="I12">
        <v>89</v>
      </c>
      <c r="J12">
        <v>15</v>
      </c>
      <c r="K12">
        <f t="shared" si="0"/>
        <v>29.8</v>
      </c>
    </row>
    <row r="13" spans="1:11" hidden="1">
      <c r="A13" t="s">
        <v>51</v>
      </c>
      <c r="B13" s="1" t="s">
        <v>52</v>
      </c>
      <c r="C13" s="1" t="s">
        <v>12</v>
      </c>
      <c r="D13" s="1" t="s">
        <v>37</v>
      </c>
      <c r="E13" s="1">
        <v>2021</v>
      </c>
      <c r="F13" s="1" t="s">
        <v>53</v>
      </c>
      <c r="G13" s="2" t="s">
        <v>44</v>
      </c>
      <c r="H13" s="1" t="s">
        <v>16</v>
      </c>
      <c r="I13">
        <v>60</v>
      </c>
      <c r="J13">
        <v>14</v>
      </c>
      <c r="K13">
        <f t="shared" si="0"/>
        <v>23.200000000000003</v>
      </c>
    </row>
    <row r="14" spans="1:11" hidden="1">
      <c r="A14" t="s">
        <v>51</v>
      </c>
      <c r="B14" s="1" t="s">
        <v>55</v>
      </c>
      <c r="C14" s="1" t="s">
        <v>12</v>
      </c>
      <c r="D14" s="1" t="s">
        <v>37</v>
      </c>
      <c r="E14" s="1">
        <v>2021</v>
      </c>
      <c r="F14" s="1" t="s">
        <v>14</v>
      </c>
      <c r="G14" s="1" t="s">
        <v>56</v>
      </c>
      <c r="H14" s="1" t="s">
        <v>16</v>
      </c>
      <c r="I14">
        <v>61</v>
      </c>
      <c r="J14">
        <v>20</v>
      </c>
      <c r="K14">
        <f t="shared" si="0"/>
        <v>28.200000000000003</v>
      </c>
    </row>
    <row r="15" spans="1:11">
      <c r="A15" t="s">
        <v>51</v>
      </c>
      <c r="B15" s="1" t="s">
        <v>55</v>
      </c>
      <c r="C15" s="1" t="s">
        <v>12</v>
      </c>
      <c r="D15" s="1" t="s">
        <v>37</v>
      </c>
      <c r="E15" s="1">
        <v>2021</v>
      </c>
      <c r="F15" s="1" t="s">
        <v>53</v>
      </c>
      <c r="G15" s="1" t="s">
        <v>57</v>
      </c>
      <c r="H15" s="1" t="s">
        <v>16</v>
      </c>
      <c r="I15">
        <v>93</v>
      </c>
      <c r="J15">
        <v>16</v>
      </c>
      <c r="K15">
        <f t="shared" si="0"/>
        <v>31.400000000000002</v>
      </c>
    </row>
    <row r="16" spans="1:11" hidden="1">
      <c r="A16" t="s">
        <v>49</v>
      </c>
      <c r="B16" s="1" t="s">
        <v>59</v>
      </c>
      <c r="C16" s="1" t="s">
        <v>25</v>
      </c>
      <c r="D16" s="1" t="s">
        <v>37</v>
      </c>
      <c r="E16" s="1">
        <v>2021</v>
      </c>
      <c r="F16" s="1" t="s">
        <v>14</v>
      </c>
      <c r="G16" s="1" t="s">
        <v>60</v>
      </c>
      <c r="H16" s="1" t="s">
        <v>16</v>
      </c>
      <c r="I16">
        <v>57</v>
      </c>
      <c r="J16">
        <v>9</v>
      </c>
      <c r="K16">
        <f t="shared" si="0"/>
        <v>18.600000000000001</v>
      </c>
    </row>
    <row r="17" spans="1:11" hidden="1">
      <c r="A17" t="s">
        <v>61</v>
      </c>
      <c r="B17" s="1" t="s">
        <v>59</v>
      </c>
      <c r="C17" s="1" t="s">
        <v>12</v>
      </c>
      <c r="D17" s="1" t="s">
        <v>37</v>
      </c>
      <c r="E17" s="1">
        <v>2021</v>
      </c>
      <c r="F17" s="1" t="s">
        <v>14</v>
      </c>
      <c r="G17" s="1" t="s">
        <v>62</v>
      </c>
      <c r="H17" s="1" t="s">
        <v>16</v>
      </c>
      <c r="I17">
        <v>99</v>
      </c>
      <c r="J17">
        <v>2</v>
      </c>
      <c r="K17">
        <f t="shared" si="0"/>
        <v>21.400000000000002</v>
      </c>
    </row>
    <row r="18" spans="1:11" hidden="1">
      <c r="A18" t="s">
        <v>63</v>
      </c>
      <c r="B18" s="1" t="s">
        <v>59</v>
      </c>
      <c r="C18" s="1" t="s">
        <v>25</v>
      </c>
      <c r="D18" s="1" t="s">
        <v>37</v>
      </c>
      <c r="E18" s="1">
        <v>2019</v>
      </c>
      <c r="F18" s="1" t="s">
        <v>53</v>
      </c>
      <c r="G18" s="1" t="s">
        <v>66</v>
      </c>
      <c r="H18" s="1" t="s">
        <v>16</v>
      </c>
      <c r="I18">
        <v>63</v>
      </c>
      <c r="J18">
        <v>4</v>
      </c>
      <c r="K18">
        <f t="shared" si="0"/>
        <v>15.8</v>
      </c>
    </row>
    <row r="19" spans="1:11">
      <c r="A19" t="s">
        <v>67</v>
      </c>
      <c r="B19" s="1" t="s">
        <v>59</v>
      </c>
      <c r="C19" s="1" t="s">
        <v>12</v>
      </c>
      <c r="D19" s="1" t="s">
        <v>37</v>
      </c>
      <c r="E19" s="1">
        <v>2020</v>
      </c>
      <c r="F19" s="1" t="s">
        <v>14</v>
      </c>
      <c r="G19" s="1" t="s">
        <v>68</v>
      </c>
      <c r="H19" s="1" t="s">
        <v>16</v>
      </c>
      <c r="I19">
        <v>94</v>
      </c>
      <c r="J19">
        <v>13</v>
      </c>
      <c r="K19">
        <f t="shared" si="0"/>
        <v>29.200000000000003</v>
      </c>
    </row>
    <row r="20" spans="1:11" hidden="1">
      <c r="A20" t="s">
        <v>71</v>
      </c>
      <c r="B20" s="1" t="s">
        <v>59</v>
      </c>
      <c r="C20" s="1" t="s">
        <v>25</v>
      </c>
      <c r="D20" s="1" t="s">
        <v>64</v>
      </c>
      <c r="E20" s="1">
        <v>2021</v>
      </c>
      <c r="F20" s="1" t="s">
        <v>14</v>
      </c>
      <c r="G20" s="1" t="s">
        <v>72</v>
      </c>
      <c r="H20" s="1" t="s">
        <v>16</v>
      </c>
      <c r="I20">
        <v>33</v>
      </c>
      <c r="J20">
        <v>8</v>
      </c>
      <c r="K20">
        <f t="shared" si="0"/>
        <v>13</v>
      </c>
    </row>
    <row r="21" spans="1:11" hidden="1">
      <c r="A21" t="s">
        <v>71</v>
      </c>
      <c r="B21" s="1" t="s">
        <v>59</v>
      </c>
      <c r="C21" s="1" t="s">
        <v>25</v>
      </c>
      <c r="D21" s="1" t="s">
        <v>26</v>
      </c>
      <c r="E21" s="1">
        <v>2016</v>
      </c>
      <c r="F21" s="1" t="s">
        <v>14</v>
      </c>
      <c r="G21" s="1" t="s">
        <v>73</v>
      </c>
      <c r="H21" s="1" t="s">
        <v>16</v>
      </c>
      <c r="I21">
        <v>32</v>
      </c>
      <c r="J21">
        <v>17</v>
      </c>
      <c r="K21">
        <f t="shared" si="0"/>
        <v>20</v>
      </c>
    </row>
    <row r="22" spans="1:11" hidden="1">
      <c r="A22" t="s">
        <v>71</v>
      </c>
      <c r="B22" s="1" t="s">
        <v>59</v>
      </c>
      <c r="C22" s="1" t="s">
        <v>25</v>
      </c>
      <c r="D22" s="1" t="s">
        <v>30</v>
      </c>
      <c r="E22" s="1">
        <v>2015</v>
      </c>
      <c r="F22" s="1" t="s">
        <v>14</v>
      </c>
      <c r="G22" s="1" t="s">
        <v>76</v>
      </c>
      <c r="H22" s="1" t="s">
        <v>16</v>
      </c>
      <c r="I22">
        <v>33</v>
      </c>
      <c r="J22">
        <v>6</v>
      </c>
      <c r="K22">
        <f t="shared" si="0"/>
        <v>11.400000000000002</v>
      </c>
    </row>
    <row r="23" spans="1:11" hidden="1">
      <c r="A23" t="s">
        <v>71</v>
      </c>
      <c r="B23" s="1" t="s">
        <v>59</v>
      </c>
      <c r="C23" s="1" t="s">
        <v>25</v>
      </c>
      <c r="D23" s="1" t="s">
        <v>37</v>
      </c>
      <c r="E23" s="1">
        <v>2021</v>
      </c>
      <c r="F23" s="1" t="s">
        <v>14</v>
      </c>
      <c r="G23" s="1" t="s">
        <v>77</v>
      </c>
      <c r="H23" s="1" t="s">
        <v>16</v>
      </c>
      <c r="I23">
        <v>84</v>
      </c>
      <c r="J23">
        <v>6</v>
      </c>
      <c r="K23">
        <f t="shared" si="0"/>
        <v>21.6</v>
      </c>
    </row>
    <row r="24" spans="1:11" hidden="1">
      <c r="A24" t="s">
        <v>71</v>
      </c>
      <c r="B24" s="1" t="s">
        <v>80</v>
      </c>
      <c r="C24" s="1" t="s">
        <v>12</v>
      </c>
      <c r="D24" s="1" t="s">
        <v>37</v>
      </c>
      <c r="E24" s="1">
        <v>2021</v>
      </c>
      <c r="F24" s="1" t="s">
        <v>14</v>
      </c>
      <c r="G24" s="1" t="s">
        <v>81</v>
      </c>
      <c r="H24" s="1" t="s">
        <v>16</v>
      </c>
      <c r="I24">
        <v>95</v>
      </c>
      <c r="J24">
        <v>1</v>
      </c>
      <c r="K24">
        <f t="shared" si="0"/>
        <v>19.8</v>
      </c>
    </row>
    <row r="25" spans="1:11" hidden="1">
      <c r="A25" t="s">
        <v>78</v>
      </c>
      <c r="B25" s="1" t="s">
        <v>82</v>
      </c>
      <c r="C25" s="1" t="s">
        <v>25</v>
      </c>
      <c r="D25" s="1" t="s">
        <v>26</v>
      </c>
      <c r="E25" s="1">
        <v>2015</v>
      </c>
      <c r="F25" s="1" t="s">
        <v>14</v>
      </c>
      <c r="G25" s="1" t="s">
        <v>83</v>
      </c>
      <c r="H25" s="1" t="s">
        <v>16</v>
      </c>
      <c r="I25">
        <v>30</v>
      </c>
      <c r="J25">
        <v>6</v>
      </c>
      <c r="K25">
        <f t="shared" si="0"/>
        <v>10.8</v>
      </c>
    </row>
    <row r="26" spans="1:11" hidden="1">
      <c r="A26" t="s">
        <v>86</v>
      </c>
      <c r="B26" s="1" t="s">
        <v>87</v>
      </c>
      <c r="C26" s="1" t="s">
        <v>25</v>
      </c>
      <c r="D26" s="1" t="s">
        <v>37</v>
      </c>
      <c r="E26" s="1">
        <v>2021</v>
      </c>
      <c r="F26" s="1" t="s">
        <v>14</v>
      </c>
      <c r="G26" s="1" t="s">
        <v>85</v>
      </c>
      <c r="H26" s="1" t="s">
        <v>16</v>
      </c>
      <c r="I26">
        <v>79</v>
      </c>
      <c r="J26">
        <v>1</v>
      </c>
      <c r="K26">
        <f t="shared" si="0"/>
        <v>16.600000000000001</v>
      </c>
    </row>
    <row r="27" spans="1:11">
      <c r="A27" t="s">
        <v>88</v>
      </c>
      <c r="B27" s="1" t="s">
        <v>89</v>
      </c>
      <c r="C27" s="1" t="s">
        <v>25</v>
      </c>
      <c r="D27" s="1" t="s">
        <v>37</v>
      </c>
      <c r="E27" s="1">
        <v>2021</v>
      </c>
      <c r="F27" s="1" t="s">
        <v>14</v>
      </c>
      <c r="G27" s="1" t="s">
        <v>85</v>
      </c>
      <c r="H27" s="1" t="s">
        <v>16</v>
      </c>
      <c r="I27">
        <v>96</v>
      </c>
      <c r="J27">
        <v>19</v>
      </c>
      <c r="K27">
        <f t="shared" si="0"/>
        <v>34.400000000000006</v>
      </c>
    </row>
    <row r="28" spans="1:11">
      <c r="A28" t="s">
        <v>92</v>
      </c>
      <c r="B28" s="1" t="s">
        <v>93</v>
      </c>
      <c r="C28" s="1" t="s">
        <v>12</v>
      </c>
      <c r="D28" s="1" t="s">
        <v>37</v>
      </c>
      <c r="E28" s="1">
        <v>2021</v>
      </c>
      <c r="F28" s="1" t="s">
        <v>14</v>
      </c>
      <c r="G28" s="1" t="s">
        <v>94</v>
      </c>
      <c r="H28" s="1" t="s">
        <v>16</v>
      </c>
      <c r="I28">
        <v>94</v>
      </c>
      <c r="J28">
        <v>17</v>
      </c>
      <c r="K28">
        <f t="shared" si="0"/>
        <v>32.400000000000006</v>
      </c>
    </row>
    <row r="29" spans="1:11" hidden="1">
      <c r="A29" t="s">
        <v>95</v>
      </c>
      <c r="B29" s="1" t="s">
        <v>96</v>
      </c>
      <c r="C29" s="1" t="s">
        <v>12</v>
      </c>
      <c r="D29" s="1" t="s">
        <v>26</v>
      </c>
      <c r="E29" s="1">
        <v>2019</v>
      </c>
      <c r="F29" s="1" t="s">
        <v>14</v>
      </c>
      <c r="G29" s="1" t="s">
        <v>94</v>
      </c>
      <c r="H29" s="1" t="s">
        <v>16</v>
      </c>
      <c r="I29">
        <v>75</v>
      </c>
      <c r="J29">
        <v>14</v>
      </c>
      <c r="K29">
        <f t="shared" si="0"/>
        <v>26.200000000000003</v>
      </c>
    </row>
    <row r="30" spans="1:11" hidden="1">
      <c r="A30" t="s">
        <v>100</v>
      </c>
      <c r="B30" s="1" t="s">
        <v>101</v>
      </c>
      <c r="C30" s="1" t="s">
        <v>12</v>
      </c>
      <c r="D30" s="1" t="s">
        <v>26</v>
      </c>
      <c r="E30" s="1">
        <v>2020</v>
      </c>
      <c r="F30" s="1" t="s">
        <v>14</v>
      </c>
      <c r="G30" s="1" t="s">
        <v>102</v>
      </c>
      <c r="H30" s="1" t="s">
        <v>16</v>
      </c>
      <c r="I30">
        <v>68</v>
      </c>
      <c r="J30">
        <v>17</v>
      </c>
      <c r="K30">
        <f t="shared" si="0"/>
        <v>27.200000000000003</v>
      </c>
    </row>
    <row r="31" spans="1:11" hidden="1">
      <c r="A31" t="s">
        <v>103</v>
      </c>
      <c r="B31" s="1" t="s">
        <v>104</v>
      </c>
      <c r="C31" s="1" t="s">
        <v>25</v>
      </c>
      <c r="D31" s="1" t="s">
        <v>37</v>
      </c>
      <c r="E31" s="1">
        <v>2017</v>
      </c>
      <c r="F31" s="1" t="s">
        <v>14</v>
      </c>
      <c r="G31" s="1" t="s">
        <v>94</v>
      </c>
      <c r="H31" s="1" t="s">
        <v>16</v>
      </c>
      <c r="I31">
        <v>66</v>
      </c>
      <c r="J31">
        <v>18</v>
      </c>
      <c r="K31">
        <f t="shared" si="0"/>
        <v>27.6</v>
      </c>
    </row>
    <row r="32" spans="1:11" hidden="1">
      <c r="A32" t="s">
        <v>106</v>
      </c>
      <c r="B32" s="1" t="s">
        <v>107</v>
      </c>
      <c r="C32" s="1" t="s">
        <v>25</v>
      </c>
      <c r="D32" s="1" t="s">
        <v>37</v>
      </c>
      <c r="E32" s="1">
        <v>2021</v>
      </c>
      <c r="F32" s="1" t="s">
        <v>14</v>
      </c>
      <c r="G32" s="1" t="s">
        <v>108</v>
      </c>
      <c r="H32" s="1" t="s">
        <v>16</v>
      </c>
      <c r="I32">
        <v>61</v>
      </c>
      <c r="J32">
        <v>17</v>
      </c>
      <c r="K32">
        <f t="shared" si="0"/>
        <v>25.800000000000004</v>
      </c>
    </row>
    <row r="33" spans="1:11" hidden="1">
      <c r="A33" t="s">
        <v>109</v>
      </c>
      <c r="B33" s="1" t="s">
        <v>110</v>
      </c>
      <c r="C33" s="1" t="s">
        <v>25</v>
      </c>
      <c r="D33" s="1" t="s">
        <v>30</v>
      </c>
      <c r="E33" s="1">
        <v>2021</v>
      </c>
      <c r="F33" s="1" t="s">
        <v>14</v>
      </c>
      <c r="G33" s="1" t="s">
        <v>111</v>
      </c>
      <c r="H33" s="1" t="s">
        <v>16</v>
      </c>
      <c r="I33">
        <v>63</v>
      </c>
      <c r="J33">
        <v>19</v>
      </c>
      <c r="K33">
        <f t="shared" si="0"/>
        <v>27.800000000000004</v>
      </c>
    </row>
    <row r="34" spans="1:11" hidden="1">
      <c r="A34" t="s">
        <v>114</v>
      </c>
      <c r="B34" s="1" t="s">
        <v>115</v>
      </c>
      <c r="C34" s="1" t="s">
        <v>25</v>
      </c>
      <c r="D34" s="1" t="s">
        <v>26</v>
      </c>
      <c r="E34" s="1">
        <v>2021</v>
      </c>
      <c r="F34" s="1" t="s">
        <v>14</v>
      </c>
      <c r="G34" s="1" t="s">
        <v>111</v>
      </c>
      <c r="H34" s="1" t="s">
        <v>16</v>
      </c>
      <c r="I34">
        <v>56</v>
      </c>
      <c r="J34">
        <v>18</v>
      </c>
      <c r="K34">
        <f t="shared" si="0"/>
        <v>25.6</v>
      </c>
    </row>
    <row r="35" spans="1:11" hidden="1">
      <c r="A35" t="s">
        <v>116</v>
      </c>
      <c r="B35" s="1" t="s">
        <v>117</v>
      </c>
      <c r="C35" s="1" t="s">
        <v>25</v>
      </c>
      <c r="D35" s="1" t="s">
        <v>37</v>
      </c>
      <c r="E35" s="1">
        <v>2021</v>
      </c>
      <c r="F35" s="1" t="s">
        <v>14</v>
      </c>
      <c r="G35" s="1" t="s">
        <v>118</v>
      </c>
      <c r="H35" s="1" t="s">
        <v>16</v>
      </c>
      <c r="I35">
        <v>98</v>
      </c>
      <c r="J35">
        <v>7</v>
      </c>
      <c r="K35">
        <f t="shared" si="0"/>
        <v>25.200000000000003</v>
      </c>
    </row>
    <row r="36" spans="1:11" hidden="1">
      <c r="A36" t="s">
        <v>114</v>
      </c>
      <c r="B36" s="1" t="s">
        <v>120</v>
      </c>
      <c r="C36" s="1" t="s">
        <v>12</v>
      </c>
      <c r="D36" s="1" t="s">
        <v>37</v>
      </c>
      <c r="E36" s="1">
        <v>2021</v>
      </c>
      <c r="F36" s="1" t="s">
        <v>14</v>
      </c>
      <c r="G36" s="1" t="s">
        <v>111</v>
      </c>
      <c r="H36" s="1" t="s">
        <v>16</v>
      </c>
      <c r="I36">
        <v>87</v>
      </c>
      <c r="J36">
        <v>3</v>
      </c>
      <c r="K36">
        <f t="shared" si="0"/>
        <v>19.800000000000004</v>
      </c>
    </row>
    <row r="37" spans="1:11" hidden="1">
      <c r="A37" t="s">
        <v>119</v>
      </c>
      <c r="B37" s="1" t="s">
        <v>121</v>
      </c>
      <c r="C37" s="1" t="s">
        <v>25</v>
      </c>
      <c r="D37" s="1" t="s">
        <v>37</v>
      </c>
      <c r="E37" s="1">
        <v>2021</v>
      </c>
      <c r="F37" s="1" t="s">
        <v>14</v>
      </c>
      <c r="G37" s="1" t="s">
        <v>111</v>
      </c>
      <c r="H37" s="1" t="s">
        <v>16</v>
      </c>
      <c r="I37">
        <v>44</v>
      </c>
      <c r="J37">
        <v>8</v>
      </c>
      <c r="K37">
        <f t="shared" si="0"/>
        <v>15.200000000000001</v>
      </c>
    </row>
    <row r="38" spans="1:11" hidden="1">
      <c r="A38" t="s">
        <v>124</v>
      </c>
      <c r="B38" s="1" t="s">
        <v>125</v>
      </c>
      <c r="C38" s="1" t="s">
        <v>12</v>
      </c>
      <c r="D38" s="1" t="s">
        <v>37</v>
      </c>
      <c r="E38" s="1">
        <v>2017</v>
      </c>
      <c r="F38" s="1" t="s">
        <v>14</v>
      </c>
      <c r="G38" s="1" t="s">
        <v>111</v>
      </c>
      <c r="H38" s="1" t="s">
        <v>16</v>
      </c>
      <c r="I38">
        <v>65</v>
      </c>
      <c r="J38">
        <v>9</v>
      </c>
      <c r="K38">
        <f t="shared" si="0"/>
        <v>20.2</v>
      </c>
    </row>
    <row r="39" spans="1:11" hidden="1">
      <c r="A39" t="s">
        <v>126</v>
      </c>
      <c r="B39" s="1" t="s">
        <v>127</v>
      </c>
      <c r="C39" s="1" t="s">
        <v>12</v>
      </c>
      <c r="D39" s="1" t="s">
        <v>37</v>
      </c>
      <c r="E39" s="1">
        <v>2021</v>
      </c>
      <c r="F39" s="1" t="s">
        <v>14</v>
      </c>
      <c r="G39" s="1" t="s">
        <v>128</v>
      </c>
      <c r="H39" s="1" t="s">
        <v>16</v>
      </c>
      <c r="I39">
        <v>86</v>
      </c>
      <c r="J39">
        <v>5</v>
      </c>
      <c r="K39">
        <f t="shared" si="0"/>
        <v>21.2</v>
      </c>
    </row>
    <row r="40" spans="1:11" hidden="1">
      <c r="A40" t="s">
        <v>131</v>
      </c>
      <c r="B40" s="1" t="s">
        <v>132</v>
      </c>
      <c r="C40" s="1" t="s">
        <v>25</v>
      </c>
      <c r="D40" s="1" t="s">
        <v>37</v>
      </c>
      <c r="E40" s="1">
        <v>2016</v>
      </c>
      <c r="F40" s="1" t="s">
        <v>14</v>
      </c>
      <c r="G40" s="1" t="s">
        <v>128</v>
      </c>
      <c r="H40" s="1" t="s">
        <v>16</v>
      </c>
      <c r="I40">
        <v>61</v>
      </c>
      <c r="J40">
        <v>15</v>
      </c>
      <c r="K40">
        <f t="shared" si="0"/>
        <v>24.200000000000003</v>
      </c>
    </row>
    <row r="41" spans="1:11" hidden="1">
      <c r="A41" t="s">
        <v>133</v>
      </c>
      <c r="B41" s="1" t="s">
        <v>134</v>
      </c>
      <c r="C41" s="1" t="s">
        <v>25</v>
      </c>
      <c r="D41" s="1" t="s">
        <v>37</v>
      </c>
      <c r="E41" s="1">
        <v>2021</v>
      </c>
      <c r="F41" s="1" t="s">
        <v>14</v>
      </c>
      <c r="G41" s="1" t="s">
        <v>135</v>
      </c>
      <c r="H41" s="1" t="s">
        <v>16</v>
      </c>
      <c r="I41">
        <v>27</v>
      </c>
      <c r="J41">
        <v>18</v>
      </c>
      <c r="K41">
        <f t="shared" si="0"/>
        <v>19.8</v>
      </c>
    </row>
    <row r="42" spans="1:11" hidden="1">
      <c r="A42" t="s">
        <v>138</v>
      </c>
      <c r="B42" s="1" t="s">
        <v>137</v>
      </c>
      <c r="C42" s="1" t="s">
        <v>25</v>
      </c>
      <c r="D42" s="1" t="s">
        <v>37</v>
      </c>
      <c r="E42" s="1">
        <v>2021</v>
      </c>
      <c r="F42" s="1" t="s">
        <v>14</v>
      </c>
      <c r="G42" s="1" t="s">
        <v>128</v>
      </c>
      <c r="H42" s="1" t="s">
        <v>16</v>
      </c>
      <c r="I42">
        <v>40</v>
      </c>
      <c r="J42">
        <v>9</v>
      </c>
      <c r="K42">
        <f t="shared" si="0"/>
        <v>15.2</v>
      </c>
    </row>
    <row r="43" spans="1:11" hidden="1">
      <c r="A43" t="s">
        <v>139</v>
      </c>
      <c r="B43" s="1" t="s">
        <v>140</v>
      </c>
      <c r="C43" s="1" t="s">
        <v>12</v>
      </c>
      <c r="D43" s="1" t="s">
        <v>37</v>
      </c>
      <c r="E43" s="1">
        <v>2021</v>
      </c>
      <c r="F43" s="1" t="s">
        <v>14</v>
      </c>
      <c r="G43" s="1" t="s">
        <v>141</v>
      </c>
      <c r="H43" s="1" t="s">
        <v>16</v>
      </c>
      <c r="I43">
        <v>52</v>
      </c>
      <c r="J43">
        <v>10</v>
      </c>
      <c r="K43">
        <f t="shared" si="0"/>
        <v>18.399999999999999</v>
      </c>
    </row>
    <row r="44" spans="1:11" hidden="1">
      <c r="A44" t="s">
        <v>145</v>
      </c>
      <c r="B44" s="1" t="s">
        <v>146</v>
      </c>
      <c r="C44" s="1" t="s">
        <v>12</v>
      </c>
      <c r="D44" s="1" t="s">
        <v>37</v>
      </c>
      <c r="E44" s="1">
        <v>2018</v>
      </c>
      <c r="F44" s="1" t="s">
        <v>14</v>
      </c>
      <c r="G44" s="1" t="s">
        <v>144</v>
      </c>
      <c r="H44" s="1" t="s">
        <v>16</v>
      </c>
      <c r="I44">
        <v>41</v>
      </c>
      <c r="J44">
        <v>12</v>
      </c>
      <c r="K44">
        <f t="shared" si="0"/>
        <v>17.800000000000004</v>
      </c>
    </row>
    <row r="45" spans="1:11" hidden="1">
      <c r="A45" t="s">
        <v>147</v>
      </c>
      <c r="B45" s="1" t="s">
        <v>148</v>
      </c>
      <c r="C45" s="1" t="s">
        <v>12</v>
      </c>
      <c r="D45" s="1" t="s">
        <v>37</v>
      </c>
      <c r="E45" s="1">
        <v>2018</v>
      </c>
      <c r="F45" s="1" t="s">
        <v>14</v>
      </c>
      <c r="G45" s="1" t="s">
        <v>144</v>
      </c>
      <c r="H45" s="1" t="s">
        <v>16</v>
      </c>
      <c r="I45">
        <v>65</v>
      </c>
      <c r="J45">
        <v>2</v>
      </c>
      <c r="K45">
        <f t="shared" si="0"/>
        <v>14.6</v>
      </c>
    </row>
    <row r="46" spans="1:11" hidden="1">
      <c r="A46" t="s">
        <v>151</v>
      </c>
      <c r="B46" s="1" t="s">
        <v>152</v>
      </c>
      <c r="C46" s="1" t="s">
        <v>12</v>
      </c>
      <c r="D46" s="1" t="s">
        <v>37</v>
      </c>
      <c r="E46" s="1">
        <v>2021</v>
      </c>
      <c r="F46" s="1" t="s">
        <v>14</v>
      </c>
      <c r="G46" s="1" t="s">
        <v>144</v>
      </c>
      <c r="H46" s="1" t="s">
        <v>16</v>
      </c>
      <c r="I46">
        <v>95</v>
      </c>
      <c r="J46">
        <v>2</v>
      </c>
      <c r="K46">
        <f t="shared" si="0"/>
        <v>20.6</v>
      </c>
    </row>
    <row r="47" spans="1:11" hidden="1">
      <c r="A47" t="s">
        <v>153</v>
      </c>
      <c r="B47" s="1" t="s">
        <v>154</v>
      </c>
      <c r="C47" s="1" t="s">
        <v>12</v>
      </c>
      <c r="D47" s="1" t="s">
        <v>37</v>
      </c>
      <c r="E47" s="1">
        <v>2018</v>
      </c>
      <c r="F47" s="1" t="s">
        <v>14</v>
      </c>
      <c r="G47" s="1" t="s">
        <v>155</v>
      </c>
      <c r="H47" s="1" t="s">
        <v>16</v>
      </c>
      <c r="I47">
        <v>29</v>
      </c>
      <c r="J47">
        <v>8</v>
      </c>
      <c r="K47">
        <f t="shared" si="0"/>
        <v>12.200000000000001</v>
      </c>
    </row>
    <row r="48" spans="1:11" hidden="1">
      <c r="A48" t="s">
        <v>158</v>
      </c>
      <c r="B48" s="1" t="s">
        <v>157</v>
      </c>
      <c r="C48" s="1" t="s">
        <v>12</v>
      </c>
      <c r="D48" s="1" t="s">
        <v>37</v>
      </c>
      <c r="E48" s="1">
        <v>2021</v>
      </c>
      <c r="F48" s="1" t="s">
        <v>53</v>
      </c>
      <c r="G48" s="1" t="s">
        <v>155</v>
      </c>
      <c r="H48" s="1" t="s">
        <v>16</v>
      </c>
      <c r="I48">
        <v>87</v>
      </c>
      <c r="J48">
        <v>3</v>
      </c>
      <c r="K48">
        <f t="shared" si="0"/>
        <v>19.800000000000004</v>
      </c>
    </row>
    <row r="49" spans="1:11" hidden="1">
      <c r="A49" t="s">
        <v>159</v>
      </c>
      <c r="B49" s="1" t="s">
        <v>157</v>
      </c>
      <c r="C49" s="1" t="s">
        <v>12</v>
      </c>
      <c r="D49" s="1" t="s">
        <v>37</v>
      </c>
      <c r="E49" s="1">
        <v>2021</v>
      </c>
      <c r="F49" s="1" t="s">
        <v>14</v>
      </c>
      <c r="G49" s="1" t="s">
        <v>155</v>
      </c>
      <c r="H49" s="1" t="s">
        <v>16</v>
      </c>
      <c r="I49">
        <v>44</v>
      </c>
      <c r="J49">
        <v>15</v>
      </c>
      <c r="K49">
        <f t="shared" si="0"/>
        <v>20.8</v>
      </c>
    </row>
    <row r="50" spans="1:11" hidden="1">
      <c r="A50" t="s">
        <v>161</v>
      </c>
      <c r="B50" s="1" t="s">
        <v>157</v>
      </c>
      <c r="C50" s="1" t="s">
        <v>12</v>
      </c>
      <c r="D50" s="1" t="s">
        <v>37</v>
      </c>
      <c r="E50" s="1">
        <v>2021</v>
      </c>
      <c r="F50" s="1" t="s">
        <v>14</v>
      </c>
      <c r="G50" s="1" t="s">
        <v>162</v>
      </c>
      <c r="H50" s="1" t="s">
        <v>16</v>
      </c>
      <c r="I50">
        <v>75</v>
      </c>
      <c r="J50">
        <v>12</v>
      </c>
      <c r="K50">
        <f t="shared" si="0"/>
        <v>24.6</v>
      </c>
    </row>
    <row r="51" spans="1:11" hidden="1">
      <c r="A51" t="s">
        <v>163</v>
      </c>
      <c r="B51" s="1" t="s">
        <v>157</v>
      </c>
      <c r="C51" s="1" t="s">
        <v>25</v>
      </c>
      <c r="D51" s="1" t="s">
        <v>37</v>
      </c>
      <c r="E51" s="1">
        <v>2016</v>
      </c>
      <c r="F51" s="1" t="s">
        <v>14</v>
      </c>
      <c r="G51" s="1" t="s">
        <v>164</v>
      </c>
      <c r="H51" s="1" t="s">
        <v>16</v>
      </c>
      <c r="I51">
        <v>40</v>
      </c>
      <c r="J51">
        <v>12</v>
      </c>
      <c r="K51">
        <f t="shared" si="0"/>
        <v>17.600000000000001</v>
      </c>
    </row>
    <row r="52" spans="1:11" hidden="1">
      <c r="A52" t="s">
        <v>167</v>
      </c>
      <c r="B52" s="1" t="s">
        <v>157</v>
      </c>
      <c r="C52" s="1" t="s">
        <v>25</v>
      </c>
      <c r="D52" s="1" t="s">
        <v>64</v>
      </c>
      <c r="E52" s="1">
        <v>2020</v>
      </c>
      <c r="F52" s="1" t="s">
        <v>14</v>
      </c>
      <c r="G52" s="1" t="s">
        <v>168</v>
      </c>
      <c r="H52" s="1" t="s">
        <v>16</v>
      </c>
      <c r="I52">
        <v>39</v>
      </c>
      <c r="J52">
        <v>16</v>
      </c>
      <c r="K52">
        <f t="shared" si="0"/>
        <v>20.6</v>
      </c>
    </row>
    <row r="53" spans="1:11" hidden="1">
      <c r="A53" t="s">
        <v>169</v>
      </c>
      <c r="B53" s="1" t="s">
        <v>170</v>
      </c>
      <c r="C53" s="1" t="s">
        <v>25</v>
      </c>
      <c r="D53" s="1" t="s">
        <v>64</v>
      </c>
      <c r="E53" s="1">
        <v>2018</v>
      </c>
      <c r="F53" s="1" t="s">
        <v>14</v>
      </c>
      <c r="G53" s="1" t="s">
        <v>171</v>
      </c>
      <c r="H53" s="1" t="s">
        <v>16</v>
      </c>
      <c r="I53">
        <v>70</v>
      </c>
      <c r="J53">
        <v>16</v>
      </c>
      <c r="K53">
        <f t="shared" si="0"/>
        <v>26.8</v>
      </c>
    </row>
    <row r="54" spans="1:11">
      <c r="A54" t="s">
        <v>175</v>
      </c>
      <c r="B54" s="1" t="s">
        <v>176</v>
      </c>
      <c r="C54" s="1" t="s">
        <v>25</v>
      </c>
      <c r="D54" s="1" t="s">
        <v>37</v>
      </c>
      <c r="E54" s="1">
        <v>2021</v>
      </c>
      <c r="F54" s="1" t="s">
        <v>14</v>
      </c>
      <c r="G54" s="1" t="s">
        <v>177</v>
      </c>
      <c r="H54" s="1" t="s">
        <v>16</v>
      </c>
      <c r="I54">
        <v>81</v>
      </c>
      <c r="J54">
        <v>19</v>
      </c>
      <c r="K54">
        <f t="shared" si="0"/>
        <v>31.4</v>
      </c>
    </row>
    <row r="55" spans="1:11" hidden="1">
      <c r="A55" t="s">
        <v>178</v>
      </c>
      <c r="B55" s="1" t="s">
        <v>179</v>
      </c>
      <c r="C55" s="1" t="s">
        <v>12</v>
      </c>
      <c r="D55" s="1" t="s">
        <v>37</v>
      </c>
      <c r="E55" s="1">
        <v>2021</v>
      </c>
      <c r="F55" s="1" t="s">
        <v>14</v>
      </c>
      <c r="G55" s="1" t="s">
        <v>180</v>
      </c>
      <c r="H55" s="1" t="s">
        <v>16</v>
      </c>
      <c r="I55">
        <v>77</v>
      </c>
      <c r="J55">
        <v>14</v>
      </c>
      <c r="K55">
        <f t="shared" si="0"/>
        <v>26.6</v>
      </c>
    </row>
    <row r="56" spans="1:11" hidden="1">
      <c r="A56" t="s">
        <v>184</v>
      </c>
      <c r="B56" s="1" t="s">
        <v>185</v>
      </c>
      <c r="C56" s="1" t="s">
        <v>25</v>
      </c>
      <c r="D56" s="1" t="s">
        <v>26</v>
      </c>
      <c r="E56" s="1">
        <v>2020</v>
      </c>
      <c r="F56" s="1" t="s">
        <v>14</v>
      </c>
      <c r="G56" s="1" t="s">
        <v>186</v>
      </c>
      <c r="H56" s="1" t="s">
        <v>16</v>
      </c>
      <c r="I56">
        <v>67</v>
      </c>
      <c r="J56">
        <v>3</v>
      </c>
      <c r="K56">
        <f t="shared" si="0"/>
        <v>15.8</v>
      </c>
    </row>
    <row r="57" spans="1:11" hidden="1">
      <c r="A57" t="s">
        <v>187</v>
      </c>
      <c r="B57" s="1" t="s">
        <v>185</v>
      </c>
      <c r="C57" s="1" t="s">
        <v>25</v>
      </c>
      <c r="D57" s="1" t="s">
        <v>30</v>
      </c>
      <c r="E57" s="1">
        <v>2016</v>
      </c>
      <c r="F57" s="1" t="s">
        <v>14</v>
      </c>
      <c r="G57" s="1" t="s">
        <v>186</v>
      </c>
      <c r="H57" s="1" t="s">
        <v>16</v>
      </c>
      <c r="I57">
        <v>70</v>
      </c>
      <c r="J57">
        <v>9</v>
      </c>
      <c r="K57">
        <f t="shared" si="0"/>
        <v>21.2</v>
      </c>
    </row>
    <row r="58" spans="1:11">
      <c r="A58" t="s">
        <v>187</v>
      </c>
      <c r="B58" s="1" t="s">
        <v>190</v>
      </c>
      <c r="C58" s="1" t="s">
        <v>12</v>
      </c>
      <c r="D58" s="1" t="s">
        <v>37</v>
      </c>
      <c r="E58" s="1">
        <v>2021</v>
      </c>
      <c r="F58" s="1" t="s">
        <v>14</v>
      </c>
      <c r="G58" s="1" t="s">
        <v>186</v>
      </c>
      <c r="H58" s="1" t="s">
        <v>16</v>
      </c>
      <c r="I58">
        <v>98</v>
      </c>
      <c r="J58">
        <v>18</v>
      </c>
      <c r="K58">
        <f t="shared" si="0"/>
        <v>34</v>
      </c>
    </row>
    <row r="59" spans="1:11" hidden="1">
      <c r="A59" t="s">
        <v>191</v>
      </c>
      <c r="B59" s="1" t="s">
        <v>190</v>
      </c>
      <c r="C59" s="1" t="s">
        <v>25</v>
      </c>
      <c r="D59" s="1" t="s">
        <v>26</v>
      </c>
      <c r="E59" s="1">
        <v>2019</v>
      </c>
      <c r="F59" s="1" t="s">
        <v>14</v>
      </c>
      <c r="G59" s="1" t="s">
        <v>192</v>
      </c>
      <c r="H59" s="1" t="s">
        <v>16</v>
      </c>
      <c r="I59">
        <v>84</v>
      </c>
      <c r="J59">
        <v>8</v>
      </c>
      <c r="K59">
        <f t="shared" si="0"/>
        <v>23.200000000000003</v>
      </c>
    </row>
    <row r="60" spans="1:11" hidden="1">
      <c r="A60" t="s">
        <v>195</v>
      </c>
      <c r="B60" s="1" t="s">
        <v>190</v>
      </c>
      <c r="C60" s="1" t="s">
        <v>25</v>
      </c>
      <c r="D60" s="1" t="s">
        <v>37</v>
      </c>
      <c r="E60" s="1">
        <v>2020</v>
      </c>
      <c r="F60" s="1" t="s">
        <v>14</v>
      </c>
      <c r="G60" s="1" t="s">
        <v>194</v>
      </c>
      <c r="H60" s="1" t="s">
        <v>16</v>
      </c>
      <c r="I60">
        <v>55</v>
      </c>
      <c r="J60">
        <v>1</v>
      </c>
      <c r="K60">
        <f t="shared" si="0"/>
        <v>11.8</v>
      </c>
    </row>
    <row r="61" spans="1:11" hidden="1">
      <c r="A61" t="s">
        <v>196</v>
      </c>
      <c r="B61" s="1" t="s">
        <v>190</v>
      </c>
      <c r="C61" s="1" t="s">
        <v>12</v>
      </c>
      <c r="D61" s="1" t="s">
        <v>37</v>
      </c>
      <c r="E61" s="1">
        <v>2021</v>
      </c>
      <c r="F61" s="1" t="s">
        <v>14</v>
      </c>
      <c r="G61" s="1" t="s">
        <v>194</v>
      </c>
      <c r="H61" s="1" t="s">
        <v>16</v>
      </c>
      <c r="I61">
        <v>57</v>
      </c>
      <c r="J61">
        <v>5</v>
      </c>
      <c r="K61">
        <f t="shared" si="0"/>
        <v>15.4</v>
      </c>
    </row>
    <row r="62" spans="1:11" hidden="1">
      <c r="A62" t="s">
        <v>199</v>
      </c>
      <c r="B62" s="1" t="s">
        <v>200</v>
      </c>
      <c r="C62" s="1" t="s">
        <v>12</v>
      </c>
      <c r="D62" s="1" t="s">
        <v>37</v>
      </c>
      <c r="E62" s="1">
        <v>2021</v>
      </c>
      <c r="F62" s="1" t="s">
        <v>14</v>
      </c>
      <c r="G62" s="1" t="s">
        <v>194</v>
      </c>
      <c r="H62" s="1" t="s">
        <v>16</v>
      </c>
      <c r="I62">
        <v>51</v>
      </c>
      <c r="J62">
        <v>16</v>
      </c>
      <c r="K62">
        <f t="shared" si="0"/>
        <v>23</v>
      </c>
    </row>
    <row r="63" spans="1:11" hidden="1">
      <c r="A63" t="s">
        <v>201</v>
      </c>
      <c r="B63" s="1" t="s">
        <v>202</v>
      </c>
      <c r="C63" s="1" t="s">
        <v>12</v>
      </c>
      <c r="D63" s="1" t="s">
        <v>37</v>
      </c>
      <c r="E63" s="1">
        <v>2021</v>
      </c>
      <c r="F63" s="1" t="s">
        <v>14</v>
      </c>
      <c r="G63" s="1" t="s">
        <v>203</v>
      </c>
      <c r="H63" s="1" t="s">
        <v>16</v>
      </c>
      <c r="I63">
        <v>47</v>
      </c>
      <c r="J63">
        <v>2</v>
      </c>
      <c r="K63">
        <f t="shared" si="0"/>
        <v>11</v>
      </c>
    </row>
    <row r="64" spans="1:11" hidden="1">
      <c r="A64" t="s">
        <v>207</v>
      </c>
      <c r="B64" s="1" t="s">
        <v>208</v>
      </c>
      <c r="C64" s="1" t="s">
        <v>25</v>
      </c>
      <c r="D64" s="1" t="s">
        <v>64</v>
      </c>
      <c r="E64" s="1">
        <v>2020</v>
      </c>
      <c r="F64" s="1" t="s">
        <v>14</v>
      </c>
      <c r="G64" s="1" t="s">
        <v>206</v>
      </c>
      <c r="H64" s="1" t="s">
        <v>16</v>
      </c>
      <c r="I64">
        <v>25</v>
      </c>
      <c r="J64">
        <v>20</v>
      </c>
      <c r="K64">
        <f t="shared" si="0"/>
        <v>21</v>
      </c>
    </row>
    <row r="65" spans="1:11" hidden="1">
      <c r="A65" t="s">
        <v>209</v>
      </c>
      <c r="B65" s="1" t="s">
        <v>210</v>
      </c>
      <c r="C65" s="1" t="s">
        <v>12</v>
      </c>
      <c r="D65" s="1" t="s">
        <v>37</v>
      </c>
      <c r="E65" s="1">
        <v>2021</v>
      </c>
      <c r="F65" s="1" t="s">
        <v>14</v>
      </c>
      <c r="G65" s="1" t="s">
        <v>206</v>
      </c>
      <c r="H65" s="1" t="s">
        <v>16</v>
      </c>
      <c r="I65">
        <v>38</v>
      </c>
      <c r="J65">
        <v>3</v>
      </c>
      <c r="K65">
        <f t="shared" si="0"/>
        <v>10</v>
      </c>
    </row>
    <row r="66" spans="1:11" hidden="1">
      <c r="A66" t="s">
        <v>212</v>
      </c>
      <c r="B66" s="1" t="s">
        <v>213</v>
      </c>
      <c r="C66" s="1" t="s">
        <v>25</v>
      </c>
      <c r="D66" s="1" t="s">
        <v>64</v>
      </c>
      <c r="E66" s="1">
        <v>2018</v>
      </c>
      <c r="F66" s="1" t="s">
        <v>14</v>
      </c>
      <c r="G66" s="1" t="s">
        <v>214</v>
      </c>
      <c r="H66" s="1" t="s">
        <v>16</v>
      </c>
      <c r="I66">
        <v>81</v>
      </c>
      <c r="J66">
        <v>3</v>
      </c>
      <c r="K66">
        <f t="shared" si="0"/>
        <v>18.600000000000001</v>
      </c>
    </row>
    <row r="67" spans="1:11" hidden="1">
      <c r="A67" t="s">
        <v>215</v>
      </c>
      <c r="B67" s="1" t="s">
        <v>213</v>
      </c>
      <c r="C67" s="1" t="s">
        <v>25</v>
      </c>
      <c r="D67" s="1" t="s">
        <v>37</v>
      </c>
      <c r="E67" s="1">
        <v>2020</v>
      </c>
      <c r="F67" s="1" t="s">
        <v>14</v>
      </c>
      <c r="G67" s="1" t="s">
        <v>214</v>
      </c>
      <c r="H67" s="1" t="s">
        <v>16</v>
      </c>
      <c r="I67">
        <v>30</v>
      </c>
      <c r="J67">
        <v>1</v>
      </c>
      <c r="K67">
        <f t="shared" ref="K67:K130" si="1">I67*20%+J67*80%</f>
        <v>6.8</v>
      </c>
    </row>
    <row r="68" spans="1:11" hidden="1">
      <c r="A68" t="s">
        <v>217</v>
      </c>
      <c r="B68" s="1" t="s">
        <v>216</v>
      </c>
      <c r="C68" s="1" t="s">
        <v>25</v>
      </c>
      <c r="D68" s="1" t="s">
        <v>64</v>
      </c>
      <c r="E68" s="1">
        <v>2019</v>
      </c>
      <c r="F68" s="1" t="s">
        <v>14</v>
      </c>
      <c r="G68" s="1" t="s">
        <v>214</v>
      </c>
      <c r="H68" s="1" t="s">
        <v>16</v>
      </c>
      <c r="I68">
        <v>27</v>
      </c>
      <c r="J68">
        <v>11</v>
      </c>
      <c r="K68">
        <f t="shared" si="1"/>
        <v>14.200000000000001</v>
      </c>
    </row>
    <row r="69" spans="1:11" hidden="1">
      <c r="A69" t="s">
        <v>217</v>
      </c>
      <c r="B69" s="1" t="s">
        <v>216</v>
      </c>
      <c r="C69" s="1" t="s">
        <v>12</v>
      </c>
      <c r="D69" s="1" t="s">
        <v>30</v>
      </c>
      <c r="E69" s="1">
        <v>2021</v>
      </c>
      <c r="F69" s="1" t="s">
        <v>14</v>
      </c>
      <c r="G69" s="1" t="s">
        <v>214</v>
      </c>
      <c r="H69" s="1" t="s">
        <v>16</v>
      </c>
      <c r="I69">
        <v>69</v>
      </c>
      <c r="J69">
        <v>6</v>
      </c>
      <c r="K69">
        <f t="shared" si="1"/>
        <v>18.600000000000001</v>
      </c>
    </row>
    <row r="70" spans="1:11" hidden="1">
      <c r="A70" t="s">
        <v>220</v>
      </c>
      <c r="B70" s="1" t="s">
        <v>216</v>
      </c>
      <c r="C70" s="1" t="s">
        <v>25</v>
      </c>
      <c r="D70" s="1" t="s">
        <v>37</v>
      </c>
      <c r="E70" s="1">
        <v>2021</v>
      </c>
      <c r="F70" s="1" t="s">
        <v>14</v>
      </c>
      <c r="G70" s="1" t="s">
        <v>221</v>
      </c>
      <c r="H70" s="1" t="s">
        <v>16</v>
      </c>
      <c r="I70">
        <v>65</v>
      </c>
      <c r="J70">
        <v>9</v>
      </c>
      <c r="K70">
        <f t="shared" si="1"/>
        <v>20.2</v>
      </c>
    </row>
    <row r="71" spans="1:11" hidden="1">
      <c r="A71" t="s">
        <v>222</v>
      </c>
      <c r="B71" s="1" t="s">
        <v>216</v>
      </c>
      <c r="C71" s="1" t="s">
        <v>25</v>
      </c>
      <c r="D71" s="1" t="s">
        <v>64</v>
      </c>
      <c r="E71" s="1">
        <v>2015</v>
      </c>
      <c r="F71" s="1" t="s">
        <v>14</v>
      </c>
      <c r="G71" s="1" t="s">
        <v>223</v>
      </c>
      <c r="H71" s="1" t="s">
        <v>16</v>
      </c>
      <c r="I71">
        <v>88</v>
      </c>
      <c r="J71">
        <v>2</v>
      </c>
      <c r="K71">
        <f t="shared" si="1"/>
        <v>19.200000000000003</v>
      </c>
    </row>
    <row r="72" spans="1:11" hidden="1">
      <c r="A72" t="s">
        <v>225</v>
      </c>
      <c r="B72" s="1" t="s">
        <v>216</v>
      </c>
      <c r="C72" s="1" t="s">
        <v>12</v>
      </c>
      <c r="D72" s="1" t="s">
        <v>37</v>
      </c>
      <c r="E72" s="1">
        <v>2021</v>
      </c>
      <c r="F72" s="1" t="s">
        <v>14</v>
      </c>
      <c r="G72" s="1" t="s">
        <v>223</v>
      </c>
      <c r="H72" s="1" t="s">
        <v>16</v>
      </c>
      <c r="I72">
        <v>94</v>
      </c>
      <c r="J72">
        <v>8</v>
      </c>
      <c r="K72">
        <f t="shared" si="1"/>
        <v>25.200000000000003</v>
      </c>
    </row>
    <row r="73" spans="1:11" hidden="1">
      <c r="A73" t="s">
        <v>226</v>
      </c>
      <c r="B73" s="1" t="s">
        <v>216</v>
      </c>
      <c r="C73" s="1" t="s">
        <v>12</v>
      </c>
      <c r="D73" s="1" t="s">
        <v>37</v>
      </c>
      <c r="E73" s="1">
        <v>2021</v>
      </c>
      <c r="F73" s="1" t="s">
        <v>14</v>
      </c>
      <c r="G73" s="1" t="s">
        <v>223</v>
      </c>
      <c r="H73" s="1" t="s">
        <v>16</v>
      </c>
      <c r="I73">
        <v>75</v>
      </c>
      <c r="J73">
        <v>7</v>
      </c>
      <c r="K73">
        <f t="shared" si="1"/>
        <v>20.6</v>
      </c>
    </row>
    <row r="74" spans="1:11" hidden="1">
      <c r="A74" t="s">
        <v>227</v>
      </c>
      <c r="B74" s="1" t="s">
        <v>216</v>
      </c>
      <c r="C74" s="1" t="s">
        <v>25</v>
      </c>
      <c r="D74" s="1" t="s">
        <v>30</v>
      </c>
      <c r="E74" s="1">
        <v>2019</v>
      </c>
      <c r="F74" s="1" t="s">
        <v>14</v>
      </c>
      <c r="G74" s="1" t="s">
        <v>223</v>
      </c>
      <c r="H74" s="1" t="s">
        <v>16</v>
      </c>
      <c r="I74">
        <v>37</v>
      </c>
      <c r="J74">
        <v>16</v>
      </c>
      <c r="K74">
        <f t="shared" si="1"/>
        <v>20.200000000000003</v>
      </c>
    </row>
    <row r="75" spans="1:11" hidden="1">
      <c r="A75" t="s">
        <v>228</v>
      </c>
      <c r="B75" s="1" t="s">
        <v>216</v>
      </c>
      <c r="C75" s="1" t="s">
        <v>12</v>
      </c>
      <c r="D75" s="1" t="s">
        <v>37</v>
      </c>
      <c r="E75" s="1">
        <v>2019</v>
      </c>
      <c r="F75" s="1" t="s">
        <v>14</v>
      </c>
      <c r="G75" s="1" t="s">
        <v>223</v>
      </c>
      <c r="H75" s="1" t="s">
        <v>16</v>
      </c>
      <c r="I75">
        <v>34</v>
      </c>
      <c r="J75">
        <v>18</v>
      </c>
      <c r="K75">
        <f t="shared" si="1"/>
        <v>21.200000000000003</v>
      </c>
    </row>
    <row r="76" spans="1:11" hidden="1">
      <c r="A76" t="s">
        <v>230</v>
      </c>
      <c r="B76" s="1" t="s">
        <v>216</v>
      </c>
      <c r="C76" s="1" t="s">
        <v>25</v>
      </c>
      <c r="D76" s="1" t="s">
        <v>37</v>
      </c>
      <c r="E76" s="1">
        <v>2015</v>
      </c>
      <c r="F76" s="1" t="s">
        <v>14</v>
      </c>
      <c r="G76" s="1" t="s">
        <v>223</v>
      </c>
      <c r="H76" s="1" t="s">
        <v>16</v>
      </c>
      <c r="I76">
        <v>76</v>
      </c>
      <c r="J76">
        <v>16</v>
      </c>
      <c r="K76">
        <f t="shared" si="1"/>
        <v>28</v>
      </c>
    </row>
    <row r="77" spans="1:11">
      <c r="A77" t="s">
        <v>231</v>
      </c>
      <c r="B77" s="1" t="s">
        <v>216</v>
      </c>
      <c r="C77" s="1" t="s">
        <v>25</v>
      </c>
      <c r="D77" s="1" t="s">
        <v>64</v>
      </c>
      <c r="E77" s="1">
        <v>2018</v>
      </c>
      <c r="F77" s="1" t="s">
        <v>14</v>
      </c>
      <c r="G77" s="1" t="s">
        <v>223</v>
      </c>
      <c r="H77" s="1" t="s">
        <v>16</v>
      </c>
      <c r="I77">
        <v>99</v>
      </c>
      <c r="J77">
        <v>14</v>
      </c>
      <c r="K77">
        <f t="shared" si="1"/>
        <v>31</v>
      </c>
    </row>
    <row r="78" spans="1:11" hidden="1">
      <c r="A78" t="s">
        <v>233</v>
      </c>
      <c r="B78" s="1" t="s">
        <v>234</v>
      </c>
      <c r="C78" s="1" t="s">
        <v>25</v>
      </c>
      <c r="D78" s="1" t="s">
        <v>37</v>
      </c>
      <c r="E78" s="1">
        <v>2021</v>
      </c>
      <c r="F78" s="1" t="s">
        <v>14</v>
      </c>
      <c r="G78" s="1" t="s">
        <v>223</v>
      </c>
      <c r="H78" s="1" t="s">
        <v>16</v>
      </c>
      <c r="I78">
        <v>20</v>
      </c>
      <c r="J78">
        <v>15</v>
      </c>
      <c r="K78">
        <f t="shared" si="1"/>
        <v>16</v>
      </c>
    </row>
    <row r="79" spans="1:11" hidden="1">
      <c r="A79" t="s">
        <v>235</v>
      </c>
      <c r="B79" s="1" t="s">
        <v>234</v>
      </c>
      <c r="C79" s="1" t="s">
        <v>25</v>
      </c>
      <c r="D79" s="1" t="s">
        <v>64</v>
      </c>
      <c r="E79" s="1">
        <v>2016</v>
      </c>
      <c r="F79" s="1" t="s">
        <v>14</v>
      </c>
      <c r="G79" s="1" t="s">
        <v>236</v>
      </c>
      <c r="H79" s="1" t="s">
        <v>16</v>
      </c>
      <c r="I79">
        <v>73</v>
      </c>
      <c r="J79">
        <v>15</v>
      </c>
      <c r="K79">
        <f t="shared" si="1"/>
        <v>26.6</v>
      </c>
    </row>
    <row r="80" spans="1:11" hidden="1">
      <c r="A80" t="s">
        <v>238</v>
      </c>
      <c r="B80" s="1" t="s">
        <v>234</v>
      </c>
      <c r="C80" s="1" t="s">
        <v>25</v>
      </c>
      <c r="D80" s="1" t="s">
        <v>37</v>
      </c>
      <c r="E80" s="1">
        <v>2021</v>
      </c>
      <c r="F80" s="1" t="s">
        <v>14</v>
      </c>
      <c r="G80" s="1" t="s">
        <v>15</v>
      </c>
      <c r="H80" s="1" t="s">
        <v>16</v>
      </c>
      <c r="I80">
        <v>40</v>
      </c>
      <c r="J80">
        <v>12</v>
      </c>
      <c r="K80">
        <f t="shared" si="1"/>
        <v>17.600000000000001</v>
      </c>
    </row>
    <row r="81" spans="1:11" hidden="1">
      <c r="A81" t="s">
        <v>239</v>
      </c>
      <c r="B81" s="1" t="s">
        <v>234</v>
      </c>
      <c r="C81" s="1" t="s">
        <v>25</v>
      </c>
      <c r="D81" s="1" t="s">
        <v>37</v>
      </c>
      <c r="E81" s="1">
        <v>2021</v>
      </c>
      <c r="F81" s="1" t="s">
        <v>14</v>
      </c>
      <c r="G81" s="1" t="s">
        <v>15</v>
      </c>
      <c r="H81" s="1" t="s">
        <v>16</v>
      </c>
      <c r="I81">
        <v>48</v>
      </c>
      <c r="J81">
        <v>2</v>
      </c>
      <c r="K81">
        <f t="shared" si="1"/>
        <v>11.200000000000001</v>
      </c>
    </row>
    <row r="82" spans="1:11" hidden="1">
      <c r="A82" t="s">
        <v>242</v>
      </c>
      <c r="B82" s="1" t="s">
        <v>243</v>
      </c>
      <c r="C82" s="1" t="s">
        <v>25</v>
      </c>
      <c r="D82" s="1" t="s">
        <v>26</v>
      </c>
      <c r="E82" s="1">
        <v>2020</v>
      </c>
      <c r="F82" s="1" t="s">
        <v>53</v>
      </c>
      <c r="G82" s="1" t="s">
        <v>15</v>
      </c>
      <c r="H82" s="1" t="s">
        <v>16</v>
      </c>
      <c r="I82">
        <v>70</v>
      </c>
      <c r="J82">
        <v>5</v>
      </c>
      <c r="K82">
        <f t="shared" si="1"/>
        <v>18</v>
      </c>
    </row>
    <row r="83" spans="1:11" hidden="1">
      <c r="A83" t="s">
        <v>244</v>
      </c>
      <c r="B83" s="1" t="s">
        <v>243</v>
      </c>
      <c r="C83" s="1" t="s">
        <v>25</v>
      </c>
      <c r="D83" s="1" t="s">
        <v>30</v>
      </c>
      <c r="E83" s="1">
        <v>2015</v>
      </c>
      <c r="G83" s="1" t="s">
        <v>15</v>
      </c>
      <c r="H83" s="1" t="s">
        <v>16</v>
      </c>
      <c r="I83">
        <v>69</v>
      </c>
      <c r="J83">
        <v>7</v>
      </c>
      <c r="K83">
        <f t="shared" si="1"/>
        <v>19.400000000000002</v>
      </c>
    </row>
    <row r="84" spans="1:11" hidden="1">
      <c r="A84" t="s">
        <v>245</v>
      </c>
      <c r="B84" s="1" t="s">
        <v>243</v>
      </c>
      <c r="C84" s="1" t="s">
        <v>25</v>
      </c>
      <c r="D84" s="1" t="s">
        <v>30</v>
      </c>
      <c r="E84" s="1">
        <v>2021</v>
      </c>
      <c r="F84" s="1" t="s">
        <v>14</v>
      </c>
      <c r="G84" s="1" t="s">
        <v>15</v>
      </c>
      <c r="H84" s="1" t="s">
        <v>16</v>
      </c>
      <c r="I84">
        <v>37</v>
      </c>
      <c r="J84">
        <v>15</v>
      </c>
      <c r="K84">
        <f t="shared" si="1"/>
        <v>19.399999999999999</v>
      </c>
    </row>
    <row r="85" spans="1:11" hidden="1">
      <c r="A85" t="s">
        <v>244</v>
      </c>
      <c r="B85" s="1" t="s">
        <v>243</v>
      </c>
      <c r="C85" s="1" t="s">
        <v>12</v>
      </c>
      <c r="D85" s="1" t="s">
        <v>37</v>
      </c>
      <c r="E85" s="1">
        <v>2021</v>
      </c>
      <c r="F85" s="1" t="s">
        <v>14</v>
      </c>
      <c r="G85" s="1" t="s">
        <v>15</v>
      </c>
      <c r="H85" s="1" t="s">
        <v>16</v>
      </c>
      <c r="I85">
        <v>91</v>
      </c>
      <c r="J85">
        <v>4</v>
      </c>
      <c r="K85">
        <f t="shared" si="1"/>
        <v>21.4</v>
      </c>
    </row>
    <row r="86" spans="1:11" hidden="1">
      <c r="A86" t="s">
        <v>248</v>
      </c>
      <c r="B86" s="1" t="s">
        <v>249</v>
      </c>
      <c r="C86" s="1" t="s">
        <v>12</v>
      </c>
      <c r="D86" s="1" t="s">
        <v>37</v>
      </c>
      <c r="E86" s="1">
        <v>2021</v>
      </c>
      <c r="F86" s="1" t="s">
        <v>14</v>
      </c>
      <c r="G86" s="1" t="s">
        <v>15</v>
      </c>
      <c r="H86" s="1" t="s">
        <v>16</v>
      </c>
      <c r="I86">
        <v>29</v>
      </c>
      <c r="J86">
        <v>1</v>
      </c>
      <c r="K86">
        <f t="shared" si="1"/>
        <v>6.6000000000000005</v>
      </c>
    </row>
    <row r="87" spans="1:11" hidden="1">
      <c r="A87" t="s">
        <v>250</v>
      </c>
      <c r="B87" s="1" t="s">
        <v>251</v>
      </c>
      <c r="C87" s="1" t="s">
        <v>25</v>
      </c>
      <c r="D87" s="1" t="s">
        <v>37</v>
      </c>
      <c r="E87" s="1">
        <v>2021</v>
      </c>
      <c r="F87" s="1" t="s">
        <v>14</v>
      </c>
      <c r="G87" s="1" t="s">
        <v>15</v>
      </c>
      <c r="H87" s="1" t="s">
        <v>16</v>
      </c>
      <c r="I87">
        <v>46</v>
      </c>
      <c r="J87">
        <v>18</v>
      </c>
      <c r="K87">
        <f t="shared" si="1"/>
        <v>23.6</v>
      </c>
    </row>
    <row r="88" spans="1:11" hidden="1">
      <c r="A88" t="s">
        <v>254</v>
      </c>
      <c r="B88" s="1" t="s">
        <v>255</v>
      </c>
      <c r="C88" s="1" t="s">
        <v>12</v>
      </c>
      <c r="D88" s="1" t="s">
        <v>37</v>
      </c>
      <c r="E88" s="1">
        <v>2021</v>
      </c>
      <c r="F88" s="1" t="s">
        <v>14</v>
      </c>
      <c r="G88" s="1" t="s">
        <v>15</v>
      </c>
      <c r="H88" s="1" t="s">
        <v>16</v>
      </c>
      <c r="I88">
        <v>58</v>
      </c>
      <c r="J88">
        <v>5</v>
      </c>
      <c r="K88">
        <f t="shared" si="1"/>
        <v>15.600000000000001</v>
      </c>
    </row>
    <row r="89" spans="1:11" hidden="1">
      <c r="A89" t="s">
        <v>256</v>
      </c>
      <c r="B89" s="1" t="s">
        <v>257</v>
      </c>
      <c r="C89" s="1" t="s">
        <v>25</v>
      </c>
      <c r="D89" s="1" t="s">
        <v>64</v>
      </c>
      <c r="E89" s="1">
        <v>2019</v>
      </c>
      <c r="F89" s="1" t="s">
        <v>14</v>
      </c>
      <c r="G89" s="1" t="s">
        <v>15</v>
      </c>
      <c r="H89" s="1" t="s">
        <v>16</v>
      </c>
      <c r="I89">
        <v>91</v>
      </c>
      <c r="J89">
        <v>1</v>
      </c>
      <c r="K89">
        <f t="shared" si="1"/>
        <v>19</v>
      </c>
    </row>
    <row r="90" spans="1:11" hidden="1">
      <c r="A90" t="s">
        <v>256</v>
      </c>
      <c r="B90" s="1" t="s">
        <v>259</v>
      </c>
      <c r="C90" s="1" t="s">
        <v>12</v>
      </c>
      <c r="D90" s="1" t="s">
        <v>37</v>
      </c>
      <c r="E90" s="1">
        <v>2021</v>
      </c>
      <c r="F90" s="1" t="s">
        <v>14</v>
      </c>
      <c r="G90" s="1" t="s">
        <v>15</v>
      </c>
      <c r="H90" s="1" t="s">
        <v>16</v>
      </c>
      <c r="I90">
        <v>51</v>
      </c>
      <c r="J90">
        <v>7</v>
      </c>
      <c r="K90">
        <f t="shared" si="1"/>
        <v>15.8</v>
      </c>
    </row>
    <row r="91" spans="1:11" hidden="1">
      <c r="A91" t="s">
        <v>260</v>
      </c>
      <c r="B91" s="1" t="s">
        <v>259</v>
      </c>
      <c r="C91" s="1" t="s">
        <v>12</v>
      </c>
      <c r="D91" s="1" t="s">
        <v>37</v>
      </c>
      <c r="E91" s="1">
        <v>2021</v>
      </c>
      <c r="F91" s="1" t="s">
        <v>53</v>
      </c>
      <c r="G91" s="1" t="s">
        <v>15</v>
      </c>
      <c r="H91" s="1" t="s">
        <v>16</v>
      </c>
      <c r="I91">
        <v>86</v>
      </c>
      <c r="J91">
        <v>4</v>
      </c>
      <c r="K91">
        <f t="shared" si="1"/>
        <v>20.399999999999999</v>
      </c>
    </row>
    <row r="92" spans="1:11" hidden="1">
      <c r="A92" t="s">
        <v>260</v>
      </c>
      <c r="B92" s="1" t="s">
        <v>261</v>
      </c>
      <c r="C92" s="1" t="s">
        <v>12</v>
      </c>
      <c r="D92" s="1" t="s">
        <v>37</v>
      </c>
      <c r="E92" s="1">
        <v>2021</v>
      </c>
      <c r="F92" s="1" t="s">
        <v>14</v>
      </c>
      <c r="G92" s="1" t="s">
        <v>15</v>
      </c>
      <c r="H92" s="1" t="s">
        <v>16</v>
      </c>
      <c r="I92">
        <v>50</v>
      </c>
      <c r="J92">
        <v>8</v>
      </c>
      <c r="K92">
        <f t="shared" si="1"/>
        <v>16.399999999999999</v>
      </c>
    </row>
    <row r="93" spans="1:11">
      <c r="A93" t="s">
        <v>262</v>
      </c>
      <c r="B93" s="1" t="s">
        <v>261</v>
      </c>
      <c r="C93" s="1" t="s">
        <v>12</v>
      </c>
      <c r="D93" s="1" t="s">
        <v>30</v>
      </c>
      <c r="E93" s="1">
        <v>2019</v>
      </c>
      <c r="F93" s="1" t="s">
        <v>14</v>
      </c>
      <c r="G93" s="1" t="s">
        <v>15</v>
      </c>
      <c r="H93" s="1" t="s">
        <v>16</v>
      </c>
      <c r="I93">
        <v>94</v>
      </c>
      <c r="J93">
        <v>18</v>
      </c>
      <c r="K93">
        <f t="shared" si="1"/>
        <v>33.200000000000003</v>
      </c>
    </row>
    <row r="94" spans="1:11">
      <c r="A94" t="s">
        <v>265</v>
      </c>
      <c r="B94" s="1" t="s">
        <v>266</v>
      </c>
      <c r="C94" s="1" t="s">
        <v>12</v>
      </c>
      <c r="D94" s="1" t="s">
        <v>37</v>
      </c>
      <c r="E94" s="1">
        <v>2021</v>
      </c>
      <c r="F94" s="1" t="s">
        <v>14</v>
      </c>
      <c r="G94" s="1" t="s">
        <v>15</v>
      </c>
      <c r="H94" s="1" t="s">
        <v>16</v>
      </c>
      <c r="I94">
        <v>77</v>
      </c>
      <c r="J94">
        <v>17</v>
      </c>
      <c r="K94">
        <f t="shared" si="1"/>
        <v>29</v>
      </c>
    </row>
    <row r="95" spans="1:11" hidden="1">
      <c r="A95" t="s">
        <v>267</v>
      </c>
      <c r="B95" s="1" t="s">
        <v>268</v>
      </c>
      <c r="C95" s="1" t="s">
        <v>12</v>
      </c>
      <c r="D95" s="1" t="s">
        <v>37</v>
      </c>
      <c r="E95" s="1">
        <v>2021</v>
      </c>
      <c r="F95" s="1" t="s">
        <v>14</v>
      </c>
      <c r="G95" s="1" t="s">
        <v>15</v>
      </c>
      <c r="H95" s="1" t="s">
        <v>16</v>
      </c>
      <c r="I95">
        <v>37</v>
      </c>
      <c r="J95">
        <v>10</v>
      </c>
      <c r="K95">
        <f t="shared" si="1"/>
        <v>15.4</v>
      </c>
    </row>
    <row r="96" spans="1:11" hidden="1">
      <c r="A96" t="s">
        <v>270</v>
      </c>
      <c r="B96" s="1" t="s">
        <v>268</v>
      </c>
      <c r="C96" s="1" t="s">
        <v>25</v>
      </c>
      <c r="D96" s="1" t="s">
        <v>30</v>
      </c>
      <c r="E96" s="1">
        <v>2019</v>
      </c>
      <c r="F96" s="1" t="s">
        <v>14</v>
      </c>
      <c r="G96" s="1" t="s">
        <v>15</v>
      </c>
      <c r="H96" s="1" t="s">
        <v>16</v>
      </c>
      <c r="I96">
        <v>76</v>
      </c>
      <c r="J96">
        <v>12</v>
      </c>
      <c r="K96">
        <f t="shared" si="1"/>
        <v>24.800000000000004</v>
      </c>
    </row>
    <row r="97" spans="1:11" hidden="1">
      <c r="A97" t="s">
        <v>271</v>
      </c>
      <c r="B97" s="1" t="s">
        <v>272</v>
      </c>
      <c r="C97" s="1" t="s">
        <v>25</v>
      </c>
      <c r="D97" s="1" t="s">
        <v>37</v>
      </c>
      <c r="E97" s="1">
        <v>2015</v>
      </c>
      <c r="F97" s="1" t="s">
        <v>14</v>
      </c>
      <c r="G97" s="2" t="s">
        <v>15</v>
      </c>
      <c r="H97" s="1" t="s">
        <v>16</v>
      </c>
      <c r="I97">
        <v>56</v>
      </c>
      <c r="J97">
        <v>12</v>
      </c>
      <c r="K97">
        <f t="shared" si="1"/>
        <v>20.800000000000004</v>
      </c>
    </row>
    <row r="98" spans="1:11" hidden="1">
      <c r="A98" t="s">
        <v>274</v>
      </c>
      <c r="B98" s="1" t="s">
        <v>272</v>
      </c>
      <c r="C98" s="1" t="s">
        <v>25</v>
      </c>
      <c r="D98" s="1" t="s">
        <v>37</v>
      </c>
      <c r="E98" s="1">
        <v>2018</v>
      </c>
      <c r="F98" s="1" t="s">
        <v>14</v>
      </c>
      <c r="G98" s="1" t="s">
        <v>15</v>
      </c>
      <c r="H98" s="1" t="s">
        <v>16</v>
      </c>
      <c r="I98">
        <v>45</v>
      </c>
      <c r="J98">
        <v>3</v>
      </c>
      <c r="K98">
        <f t="shared" si="1"/>
        <v>11.4</v>
      </c>
    </row>
    <row r="99" spans="1:11" hidden="1">
      <c r="A99" t="s">
        <v>273</v>
      </c>
      <c r="B99" s="1" t="s">
        <v>275</v>
      </c>
      <c r="C99" s="1" t="s">
        <v>12</v>
      </c>
      <c r="D99" s="1" t="s">
        <v>37</v>
      </c>
      <c r="E99" s="1">
        <v>2021</v>
      </c>
      <c r="F99" s="1" t="s">
        <v>14</v>
      </c>
      <c r="G99" s="1" t="s">
        <v>15</v>
      </c>
      <c r="H99" s="1" t="s">
        <v>16</v>
      </c>
      <c r="I99">
        <v>37</v>
      </c>
      <c r="J99">
        <v>17</v>
      </c>
      <c r="K99">
        <f t="shared" si="1"/>
        <v>21</v>
      </c>
    </row>
    <row r="100" spans="1:11">
      <c r="A100" t="s">
        <v>277</v>
      </c>
      <c r="B100" s="1" t="s">
        <v>278</v>
      </c>
      <c r="C100" s="1" t="s">
        <v>25</v>
      </c>
      <c r="D100" s="1" t="s">
        <v>26</v>
      </c>
      <c r="E100" s="1">
        <v>2019</v>
      </c>
      <c r="F100" s="1" t="s">
        <v>14</v>
      </c>
      <c r="G100" s="1" t="s">
        <v>15</v>
      </c>
      <c r="H100" s="1" t="s">
        <v>16</v>
      </c>
      <c r="I100">
        <v>79</v>
      </c>
      <c r="J100">
        <v>18</v>
      </c>
      <c r="K100">
        <f t="shared" si="1"/>
        <v>30.200000000000003</v>
      </c>
    </row>
    <row r="101" spans="1:11" hidden="1">
      <c r="A101" t="s">
        <v>279</v>
      </c>
      <c r="B101" s="1" t="s">
        <v>280</v>
      </c>
      <c r="C101" s="1" t="s">
        <v>12</v>
      </c>
      <c r="D101" s="1" t="s">
        <v>26</v>
      </c>
      <c r="E101" s="1">
        <v>2015</v>
      </c>
      <c r="F101" s="1" t="s">
        <v>14</v>
      </c>
      <c r="G101" s="1" t="s">
        <v>15</v>
      </c>
      <c r="H101" s="1" t="s">
        <v>16</v>
      </c>
      <c r="I101">
        <v>67</v>
      </c>
      <c r="J101">
        <v>8</v>
      </c>
      <c r="K101">
        <f t="shared" si="1"/>
        <v>19.8</v>
      </c>
    </row>
    <row r="102" spans="1:11" hidden="1">
      <c r="A102" t="s">
        <v>283</v>
      </c>
      <c r="B102" s="1" t="s">
        <v>282</v>
      </c>
      <c r="C102" s="1" t="s">
        <v>25</v>
      </c>
      <c r="D102" s="1" t="s">
        <v>64</v>
      </c>
      <c r="E102" s="1">
        <v>2020</v>
      </c>
      <c r="F102" s="1" t="s">
        <v>14</v>
      </c>
      <c r="G102" s="1" t="s">
        <v>15</v>
      </c>
      <c r="H102" s="1" t="s">
        <v>16</v>
      </c>
      <c r="I102">
        <v>83</v>
      </c>
      <c r="J102">
        <v>11</v>
      </c>
      <c r="K102">
        <f t="shared" si="1"/>
        <v>25.400000000000002</v>
      </c>
    </row>
    <row r="103" spans="1:11" hidden="1">
      <c r="A103" t="s">
        <v>284</v>
      </c>
      <c r="B103" s="1" t="s">
        <v>285</v>
      </c>
      <c r="C103" s="1" t="s">
        <v>25</v>
      </c>
      <c r="D103" s="1" t="s">
        <v>37</v>
      </c>
      <c r="E103" s="1">
        <v>2017</v>
      </c>
      <c r="F103" s="1" t="s">
        <v>14</v>
      </c>
      <c r="G103" s="1" t="s">
        <v>15</v>
      </c>
      <c r="H103" s="1" t="s">
        <v>16</v>
      </c>
      <c r="I103">
        <v>79</v>
      </c>
      <c r="J103">
        <v>10</v>
      </c>
      <c r="K103">
        <f t="shared" si="1"/>
        <v>23.8</v>
      </c>
    </row>
    <row r="104" spans="1:11" hidden="1">
      <c r="A104" t="s">
        <v>287</v>
      </c>
      <c r="B104" s="1" t="s">
        <v>288</v>
      </c>
      <c r="C104" s="1" t="s">
        <v>12</v>
      </c>
      <c r="D104" s="1" t="s">
        <v>37</v>
      </c>
      <c r="E104" s="1">
        <v>2021</v>
      </c>
      <c r="F104" s="1" t="s">
        <v>14</v>
      </c>
      <c r="G104" s="1" t="s">
        <v>15</v>
      </c>
      <c r="H104" s="1" t="s">
        <v>16</v>
      </c>
      <c r="I104">
        <v>52</v>
      </c>
      <c r="J104">
        <v>5</v>
      </c>
      <c r="K104">
        <f t="shared" si="1"/>
        <v>14.4</v>
      </c>
    </row>
    <row r="105" spans="1:11" hidden="1">
      <c r="A105" t="s">
        <v>289</v>
      </c>
      <c r="B105" s="1" t="s">
        <v>290</v>
      </c>
      <c r="C105" s="1" t="s">
        <v>25</v>
      </c>
      <c r="D105" s="1" t="s">
        <v>37</v>
      </c>
      <c r="E105" s="1">
        <v>2018</v>
      </c>
      <c r="F105" s="1" t="s">
        <v>14</v>
      </c>
      <c r="G105" s="2" t="s">
        <v>15</v>
      </c>
      <c r="H105" s="1" t="s">
        <v>16</v>
      </c>
      <c r="I105">
        <v>73</v>
      </c>
      <c r="J105">
        <v>7</v>
      </c>
      <c r="K105">
        <f t="shared" si="1"/>
        <v>20.200000000000003</v>
      </c>
    </row>
    <row r="106" spans="1:11">
      <c r="A106" t="s">
        <v>289</v>
      </c>
      <c r="B106" s="1" t="s">
        <v>290</v>
      </c>
      <c r="C106" s="1" t="s">
        <v>12</v>
      </c>
      <c r="D106" s="1" t="s">
        <v>37</v>
      </c>
      <c r="E106" s="1">
        <v>2019</v>
      </c>
      <c r="F106" s="1" t="s">
        <v>14</v>
      </c>
      <c r="G106" s="1" t="s">
        <v>15</v>
      </c>
      <c r="H106" s="1" t="s">
        <v>16</v>
      </c>
      <c r="I106">
        <v>96</v>
      </c>
      <c r="J106">
        <v>14</v>
      </c>
      <c r="K106">
        <f t="shared" si="1"/>
        <v>30.400000000000006</v>
      </c>
    </row>
    <row r="107" spans="1:11" hidden="1">
      <c r="A107" t="s">
        <v>289</v>
      </c>
      <c r="B107" s="1" t="s">
        <v>292</v>
      </c>
      <c r="C107" s="1" t="s">
        <v>12</v>
      </c>
      <c r="D107" s="1" t="s">
        <v>37</v>
      </c>
      <c r="E107" s="1">
        <v>2020</v>
      </c>
      <c r="F107" s="1" t="s">
        <v>14</v>
      </c>
      <c r="G107" s="2" t="s">
        <v>15</v>
      </c>
      <c r="H107" s="1" t="s">
        <v>16</v>
      </c>
      <c r="I107">
        <v>59</v>
      </c>
      <c r="J107">
        <v>17</v>
      </c>
      <c r="K107">
        <f t="shared" si="1"/>
        <v>25.400000000000002</v>
      </c>
    </row>
    <row r="108" spans="1:11" hidden="1">
      <c r="A108" t="s">
        <v>291</v>
      </c>
      <c r="B108" s="1" t="s">
        <v>294</v>
      </c>
      <c r="C108" s="1" t="s">
        <v>12</v>
      </c>
      <c r="D108" s="1" t="s">
        <v>37</v>
      </c>
      <c r="E108" s="1">
        <v>2021</v>
      </c>
      <c r="F108" s="1" t="s">
        <v>14</v>
      </c>
      <c r="G108" s="1" t="s">
        <v>15</v>
      </c>
      <c r="H108" s="1" t="s">
        <v>16</v>
      </c>
      <c r="I108">
        <v>55</v>
      </c>
      <c r="J108">
        <v>17</v>
      </c>
      <c r="K108">
        <f t="shared" si="1"/>
        <v>24.6</v>
      </c>
    </row>
    <row r="109" spans="1:11">
      <c r="A109" t="s">
        <v>295</v>
      </c>
      <c r="B109" s="1" t="s">
        <v>294</v>
      </c>
      <c r="C109" s="1" t="s">
        <v>12</v>
      </c>
      <c r="D109" s="1" t="s">
        <v>37</v>
      </c>
      <c r="E109" s="1">
        <v>2021</v>
      </c>
      <c r="F109" s="1" t="s">
        <v>14</v>
      </c>
      <c r="G109" s="1" t="s">
        <v>15</v>
      </c>
      <c r="H109" s="1" t="s">
        <v>16</v>
      </c>
      <c r="I109">
        <v>73</v>
      </c>
      <c r="J109">
        <v>19</v>
      </c>
      <c r="K109">
        <f t="shared" si="1"/>
        <v>29.800000000000004</v>
      </c>
    </row>
    <row r="110" spans="1:11" hidden="1">
      <c r="A110" t="s">
        <v>298</v>
      </c>
      <c r="B110" s="1" t="s">
        <v>299</v>
      </c>
      <c r="C110" s="1" t="s">
        <v>25</v>
      </c>
      <c r="D110" s="1" t="s">
        <v>64</v>
      </c>
      <c r="E110" s="1">
        <v>2018</v>
      </c>
      <c r="F110" s="1" t="s">
        <v>14</v>
      </c>
      <c r="G110" s="2" t="s">
        <v>15</v>
      </c>
      <c r="H110" s="1" t="s">
        <v>16</v>
      </c>
      <c r="I110">
        <v>45</v>
      </c>
      <c r="J110">
        <v>20</v>
      </c>
      <c r="K110">
        <f t="shared" si="1"/>
        <v>25</v>
      </c>
    </row>
    <row r="111" spans="1:11" hidden="1">
      <c r="A111" t="s">
        <v>300</v>
      </c>
      <c r="B111" s="1" t="s">
        <v>299</v>
      </c>
      <c r="C111" s="1" t="s">
        <v>12</v>
      </c>
      <c r="D111" s="1" t="s">
        <v>37</v>
      </c>
      <c r="E111" s="1">
        <v>2021</v>
      </c>
      <c r="F111" s="1" t="s">
        <v>14</v>
      </c>
      <c r="G111" s="1" t="s">
        <v>15</v>
      </c>
      <c r="H111" s="1" t="s">
        <v>16</v>
      </c>
      <c r="I111">
        <v>26</v>
      </c>
      <c r="J111">
        <v>2</v>
      </c>
      <c r="K111">
        <f t="shared" si="1"/>
        <v>6.8000000000000007</v>
      </c>
    </row>
    <row r="112" spans="1:11">
      <c r="A112" t="s">
        <v>303</v>
      </c>
      <c r="B112" s="1" t="s">
        <v>304</v>
      </c>
      <c r="C112" s="1" t="s">
        <v>25</v>
      </c>
      <c r="D112" s="1" t="s">
        <v>64</v>
      </c>
      <c r="E112" s="1">
        <v>2018</v>
      </c>
      <c r="F112" s="1" t="s">
        <v>14</v>
      </c>
      <c r="G112" s="2" t="s">
        <v>15</v>
      </c>
      <c r="H112" s="1" t="s">
        <v>16</v>
      </c>
      <c r="I112">
        <v>72</v>
      </c>
      <c r="J112">
        <v>20</v>
      </c>
      <c r="K112">
        <f t="shared" si="1"/>
        <v>30.4</v>
      </c>
    </row>
    <row r="113" spans="1:11" hidden="1">
      <c r="A113" t="s">
        <v>305</v>
      </c>
      <c r="B113" s="1" t="s">
        <v>306</v>
      </c>
      <c r="C113" s="1" t="s">
        <v>25</v>
      </c>
      <c r="D113" s="1" t="s">
        <v>37</v>
      </c>
      <c r="E113" s="1">
        <v>2017</v>
      </c>
      <c r="F113" s="1" t="s">
        <v>14</v>
      </c>
      <c r="G113" s="1" t="s">
        <v>15</v>
      </c>
      <c r="H113" s="1" t="s">
        <v>16</v>
      </c>
      <c r="I113">
        <v>35</v>
      </c>
      <c r="J113">
        <v>13</v>
      </c>
      <c r="K113">
        <f t="shared" si="1"/>
        <v>17.399999999999999</v>
      </c>
    </row>
    <row r="114" spans="1:11" hidden="1">
      <c r="A114" t="s">
        <v>309</v>
      </c>
      <c r="B114" s="1" t="s">
        <v>308</v>
      </c>
      <c r="C114" s="1" t="s">
        <v>25</v>
      </c>
      <c r="D114" s="1" t="s">
        <v>30</v>
      </c>
      <c r="E114" s="1">
        <v>2020</v>
      </c>
      <c r="F114" s="1" t="s">
        <v>14</v>
      </c>
      <c r="G114" s="2" t="s">
        <v>15</v>
      </c>
      <c r="H114" s="1" t="s">
        <v>16</v>
      </c>
      <c r="I114">
        <v>59</v>
      </c>
      <c r="J114">
        <v>14</v>
      </c>
      <c r="K114">
        <f t="shared" si="1"/>
        <v>23</v>
      </c>
    </row>
    <row r="115" spans="1:11">
      <c r="A115" t="s">
        <v>310</v>
      </c>
      <c r="B115" s="1" t="s">
        <v>311</v>
      </c>
      <c r="C115" s="1" t="s">
        <v>12</v>
      </c>
      <c r="D115" s="1" t="s">
        <v>37</v>
      </c>
      <c r="E115" s="1">
        <v>2021</v>
      </c>
      <c r="F115" s="1" t="s">
        <v>14</v>
      </c>
      <c r="G115" s="1" t="s">
        <v>15</v>
      </c>
      <c r="H115" s="1" t="s">
        <v>16</v>
      </c>
      <c r="I115">
        <v>65</v>
      </c>
      <c r="J115">
        <v>20</v>
      </c>
      <c r="K115">
        <f t="shared" si="1"/>
        <v>29</v>
      </c>
    </row>
    <row r="116" spans="1:11" hidden="1">
      <c r="A116" t="s">
        <v>314</v>
      </c>
      <c r="B116" s="1" t="s">
        <v>313</v>
      </c>
      <c r="C116" s="1" t="s">
        <v>12</v>
      </c>
      <c r="D116" s="1" t="s">
        <v>37</v>
      </c>
      <c r="E116" s="1">
        <v>2021</v>
      </c>
      <c r="F116" s="1" t="s">
        <v>14</v>
      </c>
      <c r="G116" s="1" t="s">
        <v>15</v>
      </c>
      <c r="H116" s="1" t="s">
        <v>16</v>
      </c>
      <c r="I116">
        <v>35</v>
      </c>
      <c r="J116">
        <v>15</v>
      </c>
      <c r="K116">
        <f t="shared" si="1"/>
        <v>19</v>
      </c>
    </row>
    <row r="117" spans="1:11" hidden="1">
      <c r="A117" t="s">
        <v>315</v>
      </c>
      <c r="B117" s="1" t="s">
        <v>316</v>
      </c>
      <c r="C117" s="1" t="s">
        <v>12</v>
      </c>
      <c r="D117" s="1" t="s">
        <v>37</v>
      </c>
      <c r="E117" s="1">
        <v>2021</v>
      </c>
      <c r="F117" s="1" t="s">
        <v>14</v>
      </c>
      <c r="G117" s="1" t="s">
        <v>15</v>
      </c>
      <c r="H117" s="1" t="s">
        <v>16</v>
      </c>
      <c r="I117">
        <v>79</v>
      </c>
      <c r="J117">
        <v>15</v>
      </c>
      <c r="K117">
        <f t="shared" si="1"/>
        <v>27.8</v>
      </c>
    </row>
    <row r="118" spans="1:11" hidden="1">
      <c r="A118" t="s">
        <v>319</v>
      </c>
      <c r="B118" s="1" t="s">
        <v>320</v>
      </c>
      <c r="C118" s="1" t="s">
        <v>12</v>
      </c>
      <c r="D118" s="1" t="s">
        <v>26</v>
      </c>
      <c r="E118" s="1">
        <v>2019</v>
      </c>
      <c r="F118" s="1" t="s">
        <v>14</v>
      </c>
      <c r="G118" s="2" t="s">
        <v>15</v>
      </c>
      <c r="H118" s="1" t="s">
        <v>16</v>
      </c>
      <c r="I118">
        <v>69</v>
      </c>
      <c r="J118">
        <v>15</v>
      </c>
      <c r="K118">
        <f t="shared" si="1"/>
        <v>25.8</v>
      </c>
    </row>
    <row r="119" spans="1:11" hidden="1">
      <c r="A119" t="s">
        <v>321</v>
      </c>
      <c r="B119" s="1" t="s">
        <v>322</v>
      </c>
      <c r="C119" s="1" t="s">
        <v>25</v>
      </c>
      <c r="D119" s="1" t="s">
        <v>64</v>
      </c>
      <c r="E119" s="1">
        <v>2019</v>
      </c>
      <c r="F119" s="1" t="s">
        <v>14</v>
      </c>
      <c r="G119" s="1" t="s">
        <v>15</v>
      </c>
      <c r="H119" s="1" t="s">
        <v>16</v>
      </c>
      <c r="I119">
        <v>83</v>
      </c>
      <c r="J119">
        <v>6</v>
      </c>
      <c r="K119">
        <f t="shared" si="1"/>
        <v>21.400000000000002</v>
      </c>
    </row>
    <row r="120" spans="1:11" hidden="1">
      <c r="A120" t="s">
        <v>325</v>
      </c>
      <c r="B120" s="1" t="s">
        <v>326</v>
      </c>
      <c r="C120" s="1" t="s">
        <v>25</v>
      </c>
      <c r="D120" s="1" t="s">
        <v>26</v>
      </c>
      <c r="E120" s="1">
        <v>2018</v>
      </c>
      <c r="F120" s="1" t="s">
        <v>14</v>
      </c>
      <c r="G120" s="1" t="s">
        <v>15</v>
      </c>
      <c r="H120" s="1" t="s">
        <v>16</v>
      </c>
      <c r="I120">
        <v>21</v>
      </c>
      <c r="J120">
        <v>10</v>
      </c>
      <c r="K120">
        <f t="shared" si="1"/>
        <v>12.2</v>
      </c>
    </row>
    <row r="121" spans="1:11" hidden="1">
      <c r="A121" t="s">
        <v>327</v>
      </c>
      <c r="B121" s="1" t="s">
        <v>328</v>
      </c>
      <c r="C121" s="1" t="s">
        <v>25</v>
      </c>
      <c r="D121" s="1" t="s">
        <v>30</v>
      </c>
      <c r="E121" s="1">
        <v>2021</v>
      </c>
      <c r="F121" s="1" t="s">
        <v>14</v>
      </c>
      <c r="G121" s="2" t="s">
        <v>15</v>
      </c>
      <c r="H121" s="1" t="s">
        <v>16</v>
      </c>
      <c r="I121">
        <v>90</v>
      </c>
      <c r="J121">
        <v>1</v>
      </c>
      <c r="K121">
        <f t="shared" si="1"/>
        <v>18.8</v>
      </c>
    </row>
    <row r="122" spans="1:11">
      <c r="A122" t="s">
        <v>331</v>
      </c>
      <c r="B122" s="1" t="s">
        <v>330</v>
      </c>
      <c r="C122" s="1" t="s">
        <v>25</v>
      </c>
      <c r="D122" s="1" t="s">
        <v>37</v>
      </c>
      <c r="E122" s="1">
        <v>2018</v>
      </c>
      <c r="F122" s="1" t="s">
        <v>14</v>
      </c>
      <c r="G122" s="2" t="s">
        <v>15</v>
      </c>
      <c r="H122" s="1" t="s">
        <v>16</v>
      </c>
      <c r="I122">
        <v>68</v>
      </c>
      <c r="J122">
        <v>20</v>
      </c>
      <c r="K122">
        <f t="shared" si="1"/>
        <v>29.6</v>
      </c>
    </row>
    <row r="123" spans="1:11" hidden="1">
      <c r="A123" t="s">
        <v>332</v>
      </c>
      <c r="B123" s="1" t="s">
        <v>333</v>
      </c>
      <c r="C123" s="1" t="s">
        <v>25</v>
      </c>
      <c r="D123" s="1" t="s">
        <v>37</v>
      </c>
      <c r="E123" s="1">
        <v>2021</v>
      </c>
      <c r="F123" s="1" t="s">
        <v>14</v>
      </c>
      <c r="G123" s="1" t="s">
        <v>15</v>
      </c>
      <c r="H123" s="1" t="s">
        <v>16</v>
      </c>
      <c r="I123">
        <v>26</v>
      </c>
      <c r="J123">
        <v>4</v>
      </c>
      <c r="K123">
        <f t="shared" si="1"/>
        <v>8.4</v>
      </c>
    </row>
    <row r="124" spans="1:11">
      <c r="A124" t="s">
        <v>335</v>
      </c>
      <c r="B124" s="1" t="s">
        <v>336</v>
      </c>
      <c r="C124" s="1" t="s">
        <v>25</v>
      </c>
      <c r="D124" s="1" t="s">
        <v>30</v>
      </c>
      <c r="E124" s="1">
        <v>2015</v>
      </c>
      <c r="F124" s="1" t="s">
        <v>14</v>
      </c>
      <c r="G124" s="1" t="s">
        <v>15</v>
      </c>
      <c r="H124" s="1" t="s">
        <v>16</v>
      </c>
      <c r="I124">
        <v>78</v>
      </c>
      <c r="J124">
        <v>16</v>
      </c>
      <c r="K124">
        <f t="shared" si="1"/>
        <v>28.400000000000002</v>
      </c>
    </row>
    <row r="125" spans="1:11" hidden="1">
      <c r="A125" t="s">
        <v>337</v>
      </c>
      <c r="B125" s="1" t="s">
        <v>338</v>
      </c>
      <c r="C125" s="1" t="s">
        <v>12</v>
      </c>
      <c r="D125" s="1" t="s">
        <v>37</v>
      </c>
      <c r="E125" s="1">
        <v>2016</v>
      </c>
      <c r="F125" s="1" t="s">
        <v>14</v>
      </c>
      <c r="G125" s="1" t="s">
        <v>15</v>
      </c>
      <c r="H125" s="1" t="s">
        <v>16</v>
      </c>
      <c r="I125">
        <v>85</v>
      </c>
      <c r="J125">
        <v>9</v>
      </c>
      <c r="K125">
        <f t="shared" si="1"/>
        <v>24.2</v>
      </c>
    </row>
    <row r="126" spans="1:11">
      <c r="A126" t="s">
        <v>339</v>
      </c>
      <c r="B126" s="1" t="s">
        <v>341</v>
      </c>
      <c r="C126" s="1" t="s">
        <v>25</v>
      </c>
      <c r="D126" s="1" t="s">
        <v>37</v>
      </c>
      <c r="E126" s="1">
        <v>2020</v>
      </c>
      <c r="F126" s="1" t="s">
        <v>14</v>
      </c>
      <c r="G126" s="1" t="s">
        <v>15</v>
      </c>
      <c r="H126" s="1" t="s">
        <v>16</v>
      </c>
      <c r="I126">
        <v>99</v>
      </c>
      <c r="J126">
        <v>11</v>
      </c>
      <c r="K126">
        <f t="shared" si="1"/>
        <v>28.6</v>
      </c>
    </row>
    <row r="127" spans="1:11">
      <c r="A127" t="s">
        <v>342</v>
      </c>
      <c r="B127" s="1" t="s">
        <v>343</v>
      </c>
      <c r="C127" s="1" t="s">
        <v>25</v>
      </c>
      <c r="D127" s="1" t="s">
        <v>37</v>
      </c>
      <c r="E127" s="1">
        <v>2021</v>
      </c>
      <c r="F127" s="1" t="s">
        <v>14</v>
      </c>
      <c r="G127" s="1" t="s">
        <v>15</v>
      </c>
      <c r="H127" s="1" t="s">
        <v>16</v>
      </c>
      <c r="I127">
        <v>83</v>
      </c>
      <c r="J127">
        <v>20</v>
      </c>
      <c r="K127">
        <f t="shared" si="1"/>
        <v>32.6</v>
      </c>
    </row>
    <row r="128" spans="1:11" hidden="1">
      <c r="A128" t="s">
        <v>344</v>
      </c>
      <c r="B128" s="1" t="s">
        <v>346</v>
      </c>
      <c r="C128" s="1" t="s">
        <v>25</v>
      </c>
      <c r="D128" s="1" t="s">
        <v>26</v>
      </c>
      <c r="E128" s="1">
        <v>2021</v>
      </c>
      <c r="F128" s="1" t="s">
        <v>14</v>
      </c>
      <c r="G128" s="1" t="s">
        <v>15</v>
      </c>
      <c r="H128" s="1" t="s">
        <v>16</v>
      </c>
      <c r="I128">
        <v>50</v>
      </c>
      <c r="J128">
        <v>18</v>
      </c>
      <c r="K128">
        <f t="shared" si="1"/>
        <v>24.4</v>
      </c>
    </row>
    <row r="129" spans="1:11" hidden="1">
      <c r="A129" t="s">
        <v>342</v>
      </c>
      <c r="B129" s="1" t="s">
        <v>347</v>
      </c>
      <c r="C129" s="1" t="s">
        <v>12</v>
      </c>
      <c r="D129" s="1" t="s">
        <v>30</v>
      </c>
      <c r="E129" s="1">
        <v>2021</v>
      </c>
      <c r="F129" s="1" t="s">
        <v>14</v>
      </c>
      <c r="G129" s="1" t="s">
        <v>15</v>
      </c>
      <c r="H129" s="1" t="s">
        <v>16</v>
      </c>
      <c r="I129">
        <v>94</v>
      </c>
      <c r="J129">
        <v>3</v>
      </c>
      <c r="K129">
        <f t="shared" si="1"/>
        <v>21.200000000000003</v>
      </c>
    </row>
    <row r="130" spans="1:11" hidden="1">
      <c r="A130" t="s">
        <v>344</v>
      </c>
      <c r="B130" s="1" t="s">
        <v>349</v>
      </c>
      <c r="C130" s="1" t="s">
        <v>25</v>
      </c>
      <c r="D130" s="1" t="s">
        <v>37</v>
      </c>
      <c r="E130" s="1">
        <v>2021</v>
      </c>
      <c r="F130" s="1" t="s">
        <v>14</v>
      </c>
      <c r="G130" s="2" t="s">
        <v>15</v>
      </c>
      <c r="H130" s="1" t="s">
        <v>16</v>
      </c>
      <c r="I130">
        <v>73</v>
      </c>
      <c r="J130">
        <v>4</v>
      </c>
      <c r="K130">
        <f t="shared" si="1"/>
        <v>17.8</v>
      </c>
    </row>
    <row r="131" spans="1:11" hidden="1">
      <c r="A131" t="s">
        <v>342</v>
      </c>
      <c r="B131" s="1" t="s">
        <v>350</v>
      </c>
      <c r="C131" s="1" t="s">
        <v>25</v>
      </c>
      <c r="D131" s="1" t="s">
        <v>37</v>
      </c>
      <c r="E131" s="1">
        <v>2020</v>
      </c>
      <c r="F131" s="1" t="s">
        <v>53</v>
      </c>
      <c r="G131" s="1" t="s">
        <v>15</v>
      </c>
      <c r="H131" s="1" t="s">
        <v>16</v>
      </c>
      <c r="I131">
        <v>63</v>
      </c>
      <c r="J131">
        <v>4</v>
      </c>
      <c r="K131">
        <f t="shared" ref="K131:K194" si="2">I131*20%+J131*80%</f>
        <v>15.8</v>
      </c>
    </row>
    <row r="132" spans="1:11" hidden="1">
      <c r="A132" t="s">
        <v>352</v>
      </c>
      <c r="B132" s="1" t="s">
        <v>351</v>
      </c>
      <c r="C132" s="1" t="s">
        <v>25</v>
      </c>
      <c r="D132" s="1" t="s">
        <v>37</v>
      </c>
      <c r="E132" s="1">
        <v>2021</v>
      </c>
      <c r="F132" s="1" t="s">
        <v>14</v>
      </c>
      <c r="G132" s="1" t="s">
        <v>15</v>
      </c>
      <c r="H132" s="1" t="s">
        <v>16</v>
      </c>
      <c r="I132">
        <v>56</v>
      </c>
      <c r="J132">
        <v>8</v>
      </c>
      <c r="K132">
        <f t="shared" si="2"/>
        <v>17.600000000000001</v>
      </c>
    </row>
    <row r="133" spans="1:11" hidden="1">
      <c r="A133" t="s">
        <v>352</v>
      </c>
      <c r="B133" s="1" t="s">
        <v>351</v>
      </c>
      <c r="C133" s="1" t="s">
        <v>12</v>
      </c>
      <c r="D133" s="1" t="s">
        <v>37</v>
      </c>
      <c r="E133" s="1">
        <v>2020</v>
      </c>
      <c r="G133" s="1" t="s">
        <v>15</v>
      </c>
      <c r="H133" s="1" t="s">
        <v>16</v>
      </c>
      <c r="I133">
        <v>52</v>
      </c>
      <c r="J133">
        <v>16</v>
      </c>
      <c r="K133">
        <f t="shared" si="2"/>
        <v>23.200000000000003</v>
      </c>
    </row>
    <row r="134" spans="1:11">
      <c r="A134" t="s">
        <v>354</v>
      </c>
      <c r="B134" s="1" t="s">
        <v>351</v>
      </c>
      <c r="C134" s="1" t="s">
        <v>25</v>
      </c>
      <c r="D134" s="1" t="s">
        <v>37</v>
      </c>
      <c r="E134" s="1">
        <v>2021</v>
      </c>
      <c r="F134" s="1" t="s">
        <v>14</v>
      </c>
      <c r="G134" s="1" t="s">
        <v>15</v>
      </c>
      <c r="H134" s="1" t="s">
        <v>16</v>
      </c>
      <c r="I134">
        <v>95</v>
      </c>
      <c r="J134">
        <v>19</v>
      </c>
      <c r="K134">
        <f t="shared" si="2"/>
        <v>34.200000000000003</v>
      </c>
    </row>
    <row r="135" spans="1:11">
      <c r="A135" t="s">
        <v>355</v>
      </c>
      <c r="B135" s="1" t="s">
        <v>351</v>
      </c>
      <c r="C135" s="1" t="s">
        <v>12</v>
      </c>
      <c r="D135" s="1" t="s">
        <v>37</v>
      </c>
      <c r="E135" s="1">
        <v>2021</v>
      </c>
      <c r="F135" s="1" t="s">
        <v>14</v>
      </c>
      <c r="G135" s="2" t="s">
        <v>15</v>
      </c>
      <c r="H135" s="1" t="s">
        <v>16</v>
      </c>
      <c r="I135">
        <v>85</v>
      </c>
      <c r="J135">
        <v>19</v>
      </c>
      <c r="K135">
        <f t="shared" si="2"/>
        <v>32.200000000000003</v>
      </c>
    </row>
    <row r="136" spans="1:11" hidden="1">
      <c r="A136" t="s">
        <v>358</v>
      </c>
      <c r="B136" s="1" t="s">
        <v>359</v>
      </c>
      <c r="C136" s="1" t="s">
        <v>25</v>
      </c>
      <c r="D136" s="1" t="s">
        <v>64</v>
      </c>
      <c r="E136" s="1">
        <v>2018</v>
      </c>
      <c r="F136" s="1" t="s">
        <v>14</v>
      </c>
      <c r="G136" s="2" t="s">
        <v>15</v>
      </c>
      <c r="H136" s="1" t="s">
        <v>16</v>
      </c>
      <c r="I136">
        <v>92</v>
      </c>
      <c r="J136">
        <v>6</v>
      </c>
      <c r="K136">
        <f t="shared" si="2"/>
        <v>23.200000000000003</v>
      </c>
    </row>
    <row r="137" spans="1:11" hidden="1">
      <c r="A137" t="s">
        <v>360</v>
      </c>
      <c r="B137" s="1" t="s">
        <v>361</v>
      </c>
      <c r="C137" s="1" t="s">
        <v>25</v>
      </c>
      <c r="D137" s="1" t="s">
        <v>37</v>
      </c>
      <c r="E137" s="1">
        <v>2016</v>
      </c>
      <c r="F137" s="1" t="s">
        <v>14</v>
      </c>
      <c r="G137" s="2" t="s">
        <v>15</v>
      </c>
      <c r="H137" s="1" t="s">
        <v>16</v>
      </c>
      <c r="I137">
        <v>63</v>
      </c>
      <c r="J137">
        <v>12</v>
      </c>
      <c r="K137">
        <f t="shared" si="2"/>
        <v>22.200000000000003</v>
      </c>
    </row>
    <row r="138" spans="1:11" hidden="1">
      <c r="A138" t="s">
        <v>364</v>
      </c>
      <c r="B138" s="1" t="s">
        <v>363</v>
      </c>
      <c r="C138" s="1" t="s">
        <v>25</v>
      </c>
      <c r="D138" s="1" t="s">
        <v>37</v>
      </c>
      <c r="E138" s="1">
        <v>2015</v>
      </c>
      <c r="F138" s="1" t="s">
        <v>14</v>
      </c>
      <c r="G138" s="1" t="s">
        <v>15</v>
      </c>
      <c r="H138" s="1" t="s">
        <v>16</v>
      </c>
      <c r="I138">
        <v>22</v>
      </c>
      <c r="J138">
        <v>10</v>
      </c>
      <c r="K138">
        <f t="shared" si="2"/>
        <v>12.4</v>
      </c>
    </row>
    <row r="139" spans="1:11" hidden="1">
      <c r="A139" t="s">
        <v>365</v>
      </c>
      <c r="B139" s="1" t="s">
        <v>366</v>
      </c>
      <c r="C139" s="1" t="s">
        <v>25</v>
      </c>
      <c r="D139" s="1" t="s">
        <v>30</v>
      </c>
      <c r="E139" s="1">
        <v>2021</v>
      </c>
      <c r="F139" s="1" t="s">
        <v>14</v>
      </c>
      <c r="G139" s="1" t="s">
        <v>15</v>
      </c>
      <c r="H139" s="1" t="s">
        <v>16</v>
      </c>
      <c r="I139">
        <v>22</v>
      </c>
      <c r="J139">
        <v>18</v>
      </c>
      <c r="K139">
        <f t="shared" si="2"/>
        <v>18.8</v>
      </c>
    </row>
    <row r="140" spans="1:11" hidden="1">
      <c r="A140" t="s">
        <v>368</v>
      </c>
      <c r="B140" s="1" t="s">
        <v>366</v>
      </c>
      <c r="C140" s="1" t="s">
        <v>25</v>
      </c>
      <c r="D140" s="1" t="s">
        <v>37</v>
      </c>
      <c r="E140" s="1">
        <v>2017</v>
      </c>
      <c r="F140" s="1" t="s">
        <v>14</v>
      </c>
      <c r="G140" s="1" t="s">
        <v>15</v>
      </c>
      <c r="H140" s="1" t="s">
        <v>16</v>
      </c>
      <c r="I140">
        <v>30</v>
      </c>
      <c r="J140">
        <v>3</v>
      </c>
      <c r="K140">
        <f t="shared" si="2"/>
        <v>8.4</v>
      </c>
    </row>
    <row r="141" spans="1:11" hidden="1">
      <c r="A141" t="s">
        <v>369</v>
      </c>
      <c r="B141" s="1" t="s">
        <v>366</v>
      </c>
      <c r="C141" s="1" t="s">
        <v>25</v>
      </c>
      <c r="D141" s="1" t="s">
        <v>26</v>
      </c>
      <c r="E141" s="1">
        <v>2019</v>
      </c>
      <c r="F141" s="1" t="s">
        <v>14</v>
      </c>
      <c r="G141" s="1" t="s">
        <v>15</v>
      </c>
      <c r="H141" s="1" t="s">
        <v>16</v>
      </c>
      <c r="I141">
        <v>60</v>
      </c>
      <c r="J141">
        <v>16</v>
      </c>
      <c r="K141">
        <f t="shared" si="2"/>
        <v>24.8</v>
      </c>
    </row>
    <row r="142" spans="1:11" hidden="1">
      <c r="A142" t="s">
        <v>371</v>
      </c>
      <c r="B142" s="1" t="s">
        <v>366</v>
      </c>
      <c r="C142" s="1" t="s">
        <v>12</v>
      </c>
      <c r="D142" s="1" t="s">
        <v>64</v>
      </c>
      <c r="E142" s="1">
        <v>2021</v>
      </c>
      <c r="F142" s="1" t="s">
        <v>14</v>
      </c>
      <c r="G142" s="1" t="s">
        <v>15</v>
      </c>
      <c r="H142" s="1" t="s">
        <v>16</v>
      </c>
      <c r="I142">
        <v>97</v>
      </c>
      <c r="J142">
        <v>9</v>
      </c>
      <c r="K142">
        <f t="shared" si="2"/>
        <v>26.6</v>
      </c>
    </row>
    <row r="143" spans="1:11" hidden="1">
      <c r="A143" t="s">
        <v>372</v>
      </c>
      <c r="B143" s="1" t="s">
        <v>366</v>
      </c>
      <c r="C143" s="1" t="s">
        <v>25</v>
      </c>
      <c r="D143" s="1" t="s">
        <v>26</v>
      </c>
      <c r="E143" s="1">
        <v>2019</v>
      </c>
      <c r="F143" s="1" t="s">
        <v>14</v>
      </c>
      <c r="G143" s="1" t="s">
        <v>15</v>
      </c>
      <c r="H143" s="1" t="s">
        <v>16</v>
      </c>
      <c r="I143">
        <v>74</v>
      </c>
      <c r="J143">
        <v>12</v>
      </c>
      <c r="K143">
        <f t="shared" si="2"/>
        <v>24.400000000000002</v>
      </c>
    </row>
    <row r="144" spans="1:11" hidden="1">
      <c r="A144" t="s">
        <v>373</v>
      </c>
      <c r="B144" s="1" t="s">
        <v>374</v>
      </c>
      <c r="C144" s="1" t="s">
        <v>25</v>
      </c>
      <c r="D144" s="1" t="s">
        <v>64</v>
      </c>
      <c r="E144" s="1">
        <v>2018</v>
      </c>
      <c r="F144" s="1" t="s">
        <v>14</v>
      </c>
      <c r="G144" s="1" t="s">
        <v>15</v>
      </c>
      <c r="H144" s="1" t="s">
        <v>16</v>
      </c>
      <c r="I144">
        <v>40</v>
      </c>
      <c r="J144">
        <v>12</v>
      </c>
      <c r="K144">
        <f t="shared" si="2"/>
        <v>17.600000000000001</v>
      </c>
    </row>
    <row r="145" spans="1:11" hidden="1">
      <c r="A145" t="s">
        <v>372</v>
      </c>
      <c r="B145" s="1" t="s">
        <v>375</v>
      </c>
      <c r="C145" s="1" t="s">
        <v>12</v>
      </c>
      <c r="D145" s="1" t="s">
        <v>37</v>
      </c>
      <c r="E145" s="1">
        <v>2015</v>
      </c>
      <c r="F145" s="1" t="s">
        <v>14</v>
      </c>
      <c r="G145" s="1" t="s">
        <v>15</v>
      </c>
      <c r="H145" s="1" t="s">
        <v>16</v>
      </c>
      <c r="I145">
        <v>86</v>
      </c>
      <c r="J145">
        <v>8</v>
      </c>
      <c r="K145">
        <f t="shared" si="2"/>
        <v>23.6</v>
      </c>
    </row>
    <row r="146" spans="1:11" hidden="1">
      <c r="A146" t="s">
        <v>373</v>
      </c>
      <c r="B146" s="1" t="s">
        <v>374</v>
      </c>
      <c r="C146" s="1" t="s">
        <v>12</v>
      </c>
      <c r="D146" s="1" t="s">
        <v>30</v>
      </c>
      <c r="E146" s="1">
        <v>2021</v>
      </c>
      <c r="F146" s="1" t="s">
        <v>14</v>
      </c>
      <c r="G146" s="1" t="s">
        <v>15</v>
      </c>
      <c r="H146" s="1" t="s">
        <v>16</v>
      </c>
      <c r="I146">
        <v>66</v>
      </c>
      <c r="J146">
        <v>7</v>
      </c>
      <c r="K146">
        <f t="shared" si="2"/>
        <v>18.8</v>
      </c>
    </row>
    <row r="147" spans="1:11" hidden="1">
      <c r="A147" t="s">
        <v>373</v>
      </c>
      <c r="B147" s="1" t="s">
        <v>376</v>
      </c>
      <c r="C147" s="1" t="s">
        <v>12</v>
      </c>
      <c r="D147" s="1" t="s">
        <v>37</v>
      </c>
      <c r="E147" s="1">
        <v>2015</v>
      </c>
      <c r="F147" s="1" t="s">
        <v>14</v>
      </c>
      <c r="G147" s="1" t="s">
        <v>15</v>
      </c>
      <c r="H147" s="1" t="s">
        <v>16</v>
      </c>
      <c r="I147">
        <v>51</v>
      </c>
      <c r="J147">
        <v>4</v>
      </c>
      <c r="K147">
        <f t="shared" si="2"/>
        <v>13.400000000000002</v>
      </c>
    </row>
    <row r="148" spans="1:11" hidden="1">
      <c r="A148" t="s">
        <v>377</v>
      </c>
      <c r="B148" s="1" t="s">
        <v>374</v>
      </c>
      <c r="C148" s="1" t="s">
        <v>25</v>
      </c>
      <c r="D148" s="1" t="s">
        <v>37</v>
      </c>
      <c r="E148" s="1">
        <v>2015</v>
      </c>
      <c r="F148" s="1" t="s">
        <v>14</v>
      </c>
      <c r="G148" s="1" t="s">
        <v>15</v>
      </c>
      <c r="H148" s="1" t="s">
        <v>16</v>
      </c>
      <c r="I148">
        <v>29</v>
      </c>
      <c r="J148">
        <v>11</v>
      </c>
      <c r="K148">
        <f t="shared" si="2"/>
        <v>14.600000000000001</v>
      </c>
    </row>
    <row r="149" spans="1:11" hidden="1">
      <c r="A149" t="s">
        <v>378</v>
      </c>
      <c r="B149" s="1" t="s">
        <v>374</v>
      </c>
      <c r="C149" s="1" t="s">
        <v>25</v>
      </c>
      <c r="D149" s="1" t="s">
        <v>64</v>
      </c>
      <c r="E149" s="1">
        <v>2018</v>
      </c>
      <c r="F149" s="1" t="s">
        <v>14</v>
      </c>
      <c r="G149" s="2" t="s">
        <v>15</v>
      </c>
      <c r="H149" s="1" t="s">
        <v>16</v>
      </c>
      <c r="I149">
        <v>27</v>
      </c>
      <c r="J149">
        <v>4</v>
      </c>
      <c r="K149">
        <f t="shared" si="2"/>
        <v>8.6000000000000014</v>
      </c>
    </row>
    <row r="150" spans="1:11" hidden="1">
      <c r="A150" t="s">
        <v>379</v>
      </c>
      <c r="B150" s="1" t="s">
        <v>380</v>
      </c>
      <c r="C150" s="1" t="s">
        <v>25</v>
      </c>
      <c r="D150" s="1" t="s">
        <v>37</v>
      </c>
      <c r="E150" s="1">
        <v>2021</v>
      </c>
      <c r="F150" s="1" t="s">
        <v>14</v>
      </c>
      <c r="G150" s="2" t="s">
        <v>15</v>
      </c>
      <c r="H150" s="1" t="s">
        <v>16</v>
      </c>
      <c r="I150">
        <v>97</v>
      </c>
      <c r="J150">
        <v>7</v>
      </c>
      <c r="K150">
        <f t="shared" si="2"/>
        <v>25.000000000000004</v>
      </c>
    </row>
    <row r="151" spans="1:11" hidden="1">
      <c r="A151" t="s">
        <v>381</v>
      </c>
      <c r="B151" s="1" t="s">
        <v>374</v>
      </c>
      <c r="C151" s="1" t="s">
        <v>12</v>
      </c>
      <c r="D151" s="1" t="s">
        <v>37</v>
      </c>
      <c r="E151" s="1">
        <v>2021</v>
      </c>
      <c r="F151" s="1" t="s">
        <v>14</v>
      </c>
      <c r="G151" s="2" t="s">
        <v>15</v>
      </c>
      <c r="H151" s="1" t="s">
        <v>16</v>
      </c>
      <c r="I151">
        <v>67</v>
      </c>
      <c r="J151">
        <v>11</v>
      </c>
      <c r="K151">
        <f t="shared" si="2"/>
        <v>22.200000000000003</v>
      </c>
    </row>
    <row r="152" spans="1:11" hidden="1">
      <c r="A152" t="s">
        <v>379</v>
      </c>
      <c r="B152" s="1" t="s">
        <v>374</v>
      </c>
      <c r="C152" s="1" t="s">
        <v>25</v>
      </c>
      <c r="D152" s="1" t="s">
        <v>37</v>
      </c>
      <c r="E152" s="1">
        <v>2021</v>
      </c>
      <c r="F152" s="1" t="s">
        <v>14</v>
      </c>
      <c r="G152" s="1" t="s">
        <v>382</v>
      </c>
      <c r="H152" s="1" t="s">
        <v>16</v>
      </c>
      <c r="I152">
        <v>35</v>
      </c>
      <c r="J152">
        <v>17</v>
      </c>
      <c r="K152">
        <f t="shared" si="2"/>
        <v>20.6</v>
      </c>
    </row>
    <row r="153" spans="1:11">
      <c r="A153" t="s">
        <v>383</v>
      </c>
      <c r="B153" s="1" t="s">
        <v>374</v>
      </c>
      <c r="C153" s="1" t="s">
        <v>25</v>
      </c>
      <c r="D153" s="1" t="s">
        <v>64</v>
      </c>
      <c r="E153" s="1">
        <v>2017</v>
      </c>
      <c r="F153" s="1" t="s">
        <v>14</v>
      </c>
      <c r="G153" s="2" t="s">
        <v>15</v>
      </c>
      <c r="H153" s="1" t="s">
        <v>16</v>
      </c>
      <c r="I153">
        <v>89</v>
      </c>
      <c r="J153">
        <v>19</v>
      </c>
      <c r="K153">
        <f t="shared" si="2"/>
        <v>33</v>
      </c>
    </row>
    <row r="154" spans="1:11" hidden="1">
      <c r="A154" t="s">
        <v>385</v>
      </c>
      <c r="B154" s="1" t="s">
        <v>374</v>
      </c>
      <c r="C154" s="1" t="s">
        <v>12</v>
      </c>
      <c r="D154" s="1" t="s">
        <v>37</v>
      </c>
      <c r="E154" s="1">
        <v>2021</v>
      </c>
      <c r="F154" s="1" t="s">
        <v>14</v>
      </c>
      <c r="G154" s="2" t="s">
        <v>15</v>
      </c>
      <c r="H154" s="1" t="s">
        <v>16</v>
      </c>
      <c r="I154">
        <v>53</v>
      </c>
      <c r="J154">
        <v>10</v>
      </c>
      <c r="K154">
        <f t="shared" si="2"/>
        <v>18.600000000000001</v>
      </c>
    </row>
    <row r="155" spans="1:11">
      <c r="A155" t="s">
        <v>386</v>
      </c>
      <c r="B155" s="1" t="s">
        <v>374</v>
      </c>
      <c r="C155" s="1" t="s">
        <v>12</v>
      </c>
      <c r="D155" s="1" t="s">
        <v>37</v>
      </c>
      <c r="E155" s="1">
        <v>2021</v>
      </c>
      <c r="F155" s="1" t="s">
        <v>14</v>
      </c>
      <c r="G155" s="2" t="s">
        <v>15</v>
      </c>
      <c r="H155" s="1" t="s">
        <v>16</v>
      </c>
      <c r="I155">
        <v>78</v>
      </c>
      <c r="J155">
        <v>20</v>
      </c>
      <c r="K155">
        <f t="shared" si="2"/>
        <v>31.6</v>
      </c>
    </row>
    <row r="156" spans="1:11" hidden="1">
      <c r="A156" t="s">
        <v>389</v>
      </c>
      <c r="B156" s="1" t="s">
        <v>390</v>
      </c>
      <c r="C156" s="1" t="s">
        <v>12</v>
      </c>
      <c r="D156" s="1" t="s">
        <v>37</v>
      </c>
      <c r="E156" s="1">
        <v>2021</v>
      </c>
      <c r="F156" s="1" t="s">
        <v>14</v>
      </c>
      <c r="G156" s="2" t="s">
        <v>15</v>
      </c>
      <c r="H156" s="1" t="s">
        <v>16</v>
      </c>
      <c r="I156">
        <v>53</v>
      </c>
      <c r="J156">
        <v>16</v>
      </c>
      <c r="K156">
        <f t="shared" si="2"/>
        <v>23.400000000000002</v>
      </c>
    </row>
    <row r="157" spans="1:11" hidden="1">
      <c r="A157" t="s">
        <v>389</v>
      </c>
      <c r="B157" s="1" t="s">
        <v>391</v>
      </c>
      <c r="C157" s="1" t="s">
        <v>25</v>
      </c>
      <c r="D157" s="1" t="s">
        <v>30</v>
      </c>
      <c r="E157" s="1">
        <v>2019</v>
      </c>
      <c r="F157" s="1" t="s">
        <v>14</v>
      </c>
      <c r="G157" s="2" t="s">
        <v>15</v>
      </c>
      <c r="H157" s="1" t="s">
        <v>16</v>
      </c>
      <c r="I157">
        <v>93</v>
      </c>
      <c r="J157">
        <v>12</v>
      </c>
      <c r="K157">
        <f t="shared" si="2"/>
        <v>28.200000000000003</v>
      </c>
    </row>
    <row r="158" spans="1:11" hidden="1">
      <c r="A158" t="s">
        <v>393</v>
      </c>
      <c r="B158" s="1" t="s">
        <v>394</v>
      </c>
      <c r="C158" s="1" t="s">
        <v>25</v>
      </c>
      <c r="D158" s="1" t="s">
        <v>37</v>
      </c>
      <c r="E158" s="1">
        <v>2021</v>
      </c>
      <c r="F158" s="1" t="s">
        <v>14</v>
      </c>
      <c r="G158" s="1" t="s">
        <v>395</v>
      </c>
      <c r="H158" s="1" t="s">
        <v>16</v>
      </c>
      <c r="I158">
        <v>34</v>
      </c>
      <c r="J158">
        <v>18</v>
      </c>
      <c r="K158">
        <f t="shared" si="2"/>
        <v>21.200000000000003</v>
      </c>
    </row>
    <row r="159" spans="1:11" hidden="1">
      <c r="A159" t="s">
        <v>396</v>
      </c>
      <c r="B159" s="1" t="s">
        <v>397</v>
      </c>
      <c r="C159" s="1" t="s">
        <v>12</v>
      </c>
      <c r="D159" s="1" t="s">
        <v>37</v>
      </c>
      <c r="E159" s="1">
        <v>2021</v>
      </c>
      <c r="F159" s="1" t="s">
        <v>14</v>
      </c>
      <c r="G159" s="1" t="s">
        <v>382</v>
      </c>
      <c r="H159" s="1" t="s">
        <v>16</v>
      </c>
      <c r="I159">
        <v>55</v>
      </c>
      <c r="J159">
        <v>14</v>
      </c>
      <c r="K159">
        <f t="shared" si="2"/>
        <v>22.200000000000003</v>
      </c>
    </row>
    <row r="160" spans="1:11" hidden="1">
      <c r="A160" t="s">
        <v>398</v>
      </c>
      <c r="B160" s="1" t="s">
        <v>399</v>
      </c>
      <c r="C160" s="1" t="s">
        <v>12</v>
      </c>
      <c r="D160" s="1" t="s">
        <v>30</v>
      </c>
      <c r="E160" s="1">
        <v>2020</v>
      </c>
      <c r="F160" s="1" t="s">
        <v>14</v>
      </c>
      <c r="G160" s="1" t="s">
        <v>15</v>
      </c>
      <c r="H160" s="1" t="s">
        <v>16</v>
      </c>
      <c r="I160">
        <v>46</v>
      </c>
      <c r="J160">
        <v>15</v>
      </c>
      <c r="K160">
        <f t="shared" si="2"/>
        <v>21.200000000000003</v>
      </c>
    </row>
    <row r="161" spans="1:11" hidden="1">
      <c r="A161" t="s">
        <v>400</v>
      </c>
      <c r="B161" s="1" t="s">
        <v>401</v>
      </c>
      <c r="C161" s="1" t="s">
        <v>25</v>
      </c>
      <c r="D161" s="1" t="s">
        <v>37</v>
      </c>
      <c r="E161" s="1">
        <v>2018</v>
      </c>
      <c r="F161" s="1" t="s">
        <v>14</v>
      </c>
      <c r="G161" s="1" t="s">
        <v>382</v>
      </c>
      <c r="H161" s="1" t="s">
        <v>16</v>
      </c>
      <c r="I161">
        <v>98</v>
      </c>
      <c r="J161">
        <v>1</v>
      </c>
      <c r="K161">
        <f t="shared" si="2"/>
        <v>20.400000000000002</v>
      </c>
    </row>
    <row r="162" spans="1:11" hidden="1">
      <c r="A162" t="s">
        <v>398</v>
      </c>
      <c r="B162" s="1" t="s">
        <v>403</v>
      </c>
      <c r="C162" s="1" t="s">
        <v>12</v>
      </c>
      <c r="D162" s="1" t="s">
        <v>37</v>
      </c>
      <c r="E162" s="1">
        <v>2021</v>
      </c>
      <c r="F162" s="1" t="s">
        <v>14</v>
      </c>
      <c r="G162" s="1" t="s">
        <v>15</v>
      </c>
      <c r="H162" s="1" t="s">
        <v>16</v>
      </c>
      <c r="I162">
        <v>69</v>
      </c>
      <c r="J162">
        <v>1</v>
      </c>
      <c r="K162">
        <f t="shared" si="2"/>
        <v>14.600000000000001</v>
      </c>
    </row>
    <row r="163" spans="1:11" hidden="1">
      <c r="A163" t="s">
        <v>404</v>
      </c>
      <c r="B163" s="1" t="s">
        <v>405</v>
      </c>
      <c r="C163" s="1" t="s">
        <v>25</v>
      </c>
      <c r="D163" s="1" t="s">
        <v>37</v>
      </c>
      <c r="E163" s="1">
        <v>2021</v>
      </c>
      <c r="F163" s="1" t="s">
        <v>14</v>
      </c>
      <c r="G163" s="1" t="s">
        <v>382</v>
      </c>
      <c r="H163" s="1" t="s">
        <v>16</v>
      </c>
      <c r="I163">
        <v>69</v>
      </c>
      <c r="J163">
        <v>8</v>
      </c>
      <c r="K163">
        <f t="shared" si="2"/>
        <v>20.200000000000003</v>
      </c>
    </row>
    <row r="164" spans="1:11" hidden="1">
      <c r="A164" t="s">
        <v>408</v>
      </c>
      <c r="B164" s="1" t="s">
        <v>409</v>
      </c>
      <c r="C164" s="1" t="s">
        <v>12</v>
      </c>
      <c r="D164" s="1" t="s">
        <v>37</v>
      </c>
      <c r="E164" s="1">
        <v>2017</v>
      </c>
      <c r="F164" s="1" t="s">
        <v>14</v>
      </c>
      <c r="G164" s="1" t="s">
        <v>382</v>
      </c>
      <c r="H164" s="1" t="s">
        <v>16</v>
      </c>
      <c r="I164">
        <v>67</v>
      </c>
      <c r="J164">
        <v>9</v>
      </c>
      <c r="K164">
        <f t="shared" si="2"/>
        <v>20.6</v>
      </c>
    </row>
    <row r="165" spans="1:11" hidden="1">
      <c r="A165" t="s">
        <v>410</v>
      </c>
      <c r="B165" s="1" t="s">
        <v>411</v>
      </c>
      <c r="C165" s="1" t="s">
        <v>25</v>
      </c>
      <c r="D165" s="1" t="s">
        <v>37</v>
      </c>
      <c r="E165" s="1">
        <v>2019</v>
      </c>
      <c r="F165" s="1" t="s">
        <v>14</v>
      </c>
      <c r="G165" s="1" t="s">
        <v>412</v>
      </c>
      <c r="H165" s="1" t="s">
        <v>16</v>
      </c>
      <c r="I165">
        <v>60</v>
      </c>
      <c r="J165">
        <v>6</v>
      </c>
      <c r="K165">
        <f t="shared" si="2"/>
        <v>16.8</v>
      </c>
    </row>
    <row r="166" spans="1:11" hidden="1">
      <c r="A166" t="s">
        <v>415</v>
      </c>
      <c r="B166" s="1" t="s">
        <v>416</v>
      </c>
      <c r="C166" s="1" t="s">
        <v>12</v>
      </c>
      <c r="D166" s="1" t="s">
        <v>37</v>
      </c>
      <c r="E166" s="1">
        <v>2020</v>
      </c>
      <c r="F166" s="1" t="s">
        <v>14</v>
      </c>
      <c r="G166" s="1" t="s">
        <v>414</v>
      </c>
      <c r="H166" s="1" t="s">
        <v>16</v>
      </c>
      <c r="I166">
        <v>69</v>
      </c>
      <c r="J166">
        <v>15</v>
      </c>
      <c r="K166">
        <f t="shared" si="2"/>
        <v>25.8</v>
      </c>
    </row>
    <row r="167" spans="1:11" hidden="1">
      <c r="A167" t="s">
        <v>417</v>
      </c>
      <c r="B167" s="1" t="s">
        <v>418</v>
      </c>
      <c r="C167" s="1" t="s">
        <v>25</v>
      </c>
      <c r="D167" s="1" t="s">
        <v>37</v>
      </c>
      <c r="E167" s="1">
        <v>2021</v>
      </c>
      <c r="F167" s="1" t="s">
        <v>14</v>
      </c>
      <c r="G167" s="1" t="s">
        <v>414</v>
      </c>
      <c r="H167" s="1" t="s">
        <v>16</v>
      </c>
      <c r="I167">
        <v>24</v>
      </c>
      <c r="J167">
        <v>3</v>
      </c>
      <c r="K167">
        <f t="shared" si="2"/>
        <v>7.2000000000000011</v>
      </c>
    </row>
    <row r="168" spans="1:11">
      <c r="A168" t="s">
        <v>421</v>
      </c>
      <c r="B168" s="1" t="s">
        <v>422</v>
      </c>
      <c r="C168" s="1" t="s">
        <v>25</v>
      </c>
      <c r="D168" s="1" t="s">
        <v>64</v>
      </c>
      <c r="E168" s="1">
        <v>2021</v>
      </c>
      <c r="F168" s="1" t="s">
        <v>14</v>
      </c>
      <c r="G168" s="1" t="s">
        <v>414</v>
      </c>
      <c r="H168" s="1" t="s">
        <v>16</v>
      </c>
      <c r="I168">
        <v>81</v>
      </c>
      <c r="J168">
        <v>20</v>
      </c>
      <c r="K168">
        <f t="shared" si="2"/>
        <v>32.200000000000003</v>
      </c>
    </row>
    <row r="169" spans="1:11" hidden="1">
      <c r="A169" t="s">
        <v>423</v>
      </c>
      <c r="B169" s="1" t="s">
        <v>422</v>
      </c>
      <c r="C169" s="1" t="s">
        <v>12</v>
      </c>
      <c r="D169" s="1" t="s">
        <v>37</v>
      </c>
      <c r="E169" s="1">
        <v>2021</v>
      </c>
      <c r="F169" s="1" t="s">
        <v>14</v>
      </c>
      <c r="G169" s="1" t="s">
        <v>424</v>
      </c>
      <c r="H169" s="1" t="s">
        <v>16</v>
      </c>
      <c r="I169">
        <v>38</v>
      </c>
      <c r="J169">
        <v>11</v>
      </c>
      <c r="K169">
        <f t="shared" si="2"/>
        <v>16.400000000000002</v>
      </c>
    </row>
    <row r="170" spans="1:11" hidden="1">
      <c r="A170" t="s">
        <v>427</v>
      </c>
      <c r="B170" s="1" t="s">
        <v>425</v>
      </c>
      <c r="C170" s="1" t="s">
        <v>25</v>
      </c>
      <c r="D170" s="1" t="s">
        <v>37</v>
      </c>
      <c r="E170" s="1">
        <v>2021</v>
      </c>
      <c r="F170" s="1" t="s">
        <v>14</v>
      </c>
      <c r="G170" s="1" t="s">
        <v>426</v>
      </c>
      <c r="H170" s="1" t="s">
        <v>16</v>
      </c>
      <c r="I170">
        <v>37</v>
      </c>
      <c r="J170">
        <v>13</v>
      </c>
      <c r="K170">
        <f t="shared" si="2"/>
        <v>17.8</v>
      </c>
    </row>
    <row r="171" spans="1:11" hidden="1">
      <c r="A171" t="s">
        <v>428</v>
      </c>
      <c r="B171" s="1" t="s">
        <v>425</v>
      </c>
      <c r="C171" s="1" t="s">
        <v>25</v>
      </c>
      <c r="D171" s="1" t="s">
        <v>26</v>
      </c>
      <c r="E171" s="1">
        <v>2016</v>
      </c>
      <c r="F171" s="1" t="s">
        <v>14</v>
      </c>
      <c r="G171" s="1" t="s">
        <v>429</v>
      </c>
      <c r="H171" s="1" t="s">
        <v>16</v>
      </c>
      <c r="I171">
        <v>60</v>
      </c>
      <c r="J171">
        <v>3</v>
      </c>
      <c r="K171">
        <f t="shared" si="2"/>
        <v>14.4</v>
      </c>
    </row>
    <row r="172" spans="1:11" hidden="1">
      <c r="A172" t="s">
        <v>431</v>
      </c>
      <c r="B172" s="1" t="s">
        <v>425</v>
      </c>
      <c r="C172" s="1" t="s">
        <v>12</v>
      </c>
      <c r="D172" s="1" t="s">
        <v>37</v>
      </c>
      <c r="E172" s="1">
        <v>2021</v>
      </c>
      <c r="F172" s="1" t="s">
        <v>14</v>
      </c>
      <c r="G172" s="1" t="s">
        <v>426</v>
      </c>
      <c r="H172" s="1" t="s">
        <v>16</v>
      </c>
      <c r="I172">
        <v>37</v>
      </c>
      <c r="J172">
        <v>7</v>
      </c>
      <c r="K172">
        <f t="shared" si="2"/>
        <v>13</v>
      </c>
    </row>
    <row r="173" spans="1:11">
      <c r="A173" t="s">
        <v>432</v>
      </c>
      <c r="B173" s="1" t="s">
        <v>425</v>
      </c>
      <c r="C173" s="1" t="s">
        <v>12</v>
      </c>
      <c r="D173" s="1" t="s">
        <v>37</v>
      </c>
      <c r="E173" s="1">
        <v>2021</v>
      </c>
      <c r="F173" s="1" t="s">
        <v>14</v>
      </c>
      <c r="G173" s="1" t="s">
        <v>426</v>
      </c>
      <c r="H173" s="1" t="s">
        <v>16</v>
      </c>
      <c r="I173">
        <v>90</v>
      </c>
      <c r="J173">
        <v>14</v>
      </c>
      <c r="K173">
        <f t="shared" si="2"/>
        <v>29.200000000000003</v>
      </c>
    </row>
    <row r="174" spans="1:11" hidden="1">
      <c r="A174" t="s">
        <v>432</v>
      </c>
      <c r="B174" s="1" t="s">
        <v>425</v>
      </c>
      <c r="C174" s="1" t="s">
        <v>12</v>
      </c>
      <c r="D174" s="1" t="s">
        <v>37</v>
      </c>
      <c r="E174" s="1">
        <v>2021</v>
      </c>
      <c r="F174" s="1" t="s">
        <v>14</v>
      </c>
      <c r="G174" s="1" t="s">
        <v>426</v>
      </c>
      <c r="H174" s="1" t="s">
        <v>16</v>
      </c>
      <c r="I174">
        <v>54</v>
      </c>
      <c r="J174">
        <v>19</v>
      </c>
      <c r="K174">
        <f t="shared" si="2"/>
        <v>26</v>
      </c>
    </row>
    <row r="175" spans="1:11" hidden="1">
      <c r="A175" t="s">
        <v>433</v>
      </c>
      <c r="B175" s="1" t="s">
        <v>425</v>
      </c>
      <c r="C175" s="1" t="s">
        <v>12</v>
      </c>
      <c r="D175" s="1" t="s">
        <v>37</v>
      </c>
      <c r="E175" s="1">
        <v>2021</v>
      </c>
      <c r="F175" s="1" t="s">
        <v>14</v>
      </c>
      <c r="G175" s="1" t="s">
        <v>426</v>
      </c>
      <c r="H175" s="1" t="s">
        <v>16</v>
      </c>
      <c r="I175">
        <v>35</v>
      </c>
      <c r="J175">
        <v>7</v>
      </c>
      <c r="K175">
        <f t="shared" si="2"/>
        <v>12.600000000000001</v>
      </c>
    </row>
    <row r="176" spans="1:11" hidden="1">
      <c r="A176" t="s">
        <v>436</v>
      </c>
      <c r="B176" s="1" t="s">
        <v>435</v>
      </c>
      <c r="C176" s="1" t="s">
        <v>12</v>
      </c>
      <c r="D176" s="1" t="s">
        <v>37</v>
      </c>
      <c r="E176" s="1">
        <v>2020</v>
      </c>
      <c r="F176" s="1" t="s">
        <v>14</v>
      </c>
      <c r="G176" s="1" t="s">
        <v>426</v>
      </c>
      <c r="H176" s="1" t="s">
        <v>16</v>
      </c>
      <c r="I176">
        <v>54</v>
      </c>
      <c r="J176">
        <v>7</v>
      </c>
      <c r="K176">
        <f t="shared" si="2"/>
        <v>16.400000000000002</v>
      </c>
    </row>
    <row r="177" spans="1:11" hidden="1">
      <c r="A177" t="s">
        <v>437</v>
      </c>
      <c r="B177" s="1" t="s">
        <v>435</v>
      </c>
      <c r="C177" s="1" t="s">
        <v>12</v>
      </c>
      <c r="D177" s="1" t="s">
        <v>37</v>
      </c>
      <c r="E177" s="1">
        <v>2020</v>
      </c>
      <c r="F177" s="1" t="s">
        <v>14</v>
      </c>
      <c r="G177" s="1" t="s">
        <v>438</v>
      </c>
      <c r="H177" s="1" t="s">
        <v>16</v>
      </c>
      <c r="I177">
        <v>76</v>
      </c>
      <c r="J177">
        <v>15</v>
      </c>
      <c r="K177">
        <f t="shared" si="2"/>
        <v>27.200000000000003</v>
      </c>
    </row>
    <row r="178" spans="1:11" hidden="1">
      <c r="A178" t="s">
        <v>439</v>
      </c>
      <c r="B178" s="1" t="s">
        <v>435</v>
      </c>
      <c r="C178" s="1" t="s">
        <v>12</v>
      </c>
      <c r="D178" s="1" t="s">
        <v>37</v>
      </c>
      <c r="E178" s="1">
        <v>2020</v>
      </c>
      <c r="F178" s="1" t="s">
        <v>14</v>
      </c>
      <c r="G178" s="1" t="s">
        <v>213</v>
      </c>
      <c r="H178" s="1" t="s">
        <v>16</v>
      </c>
      <c r="I178">
        <v>71</v>
      </c>
      <c r="J178">
        <v>9</v>
      </c>
      <c r="K178">
        <f t="shared" si="2"/>
        <v>21.400000000000002</v>
      </c>
    </row>
    <row r="179" spans="1:11" hidden="1">
      <c r="A179" t="s">
        <v>441</v>
      </c>
      <c r="B179" s="1" t="s">
        <v>435</v>
      </c>
      <c r="C179" s="1" t="s">
        <v>25</v>
      </c>
      <c r="D179" s="1" t="s">
        <v>37</v>
      </c>
      <c r="E179" s="1">
        <v>2021</v>
      </c>
      <c r="F179" s="1" t="s">
        <v>14</v>
      </c>
      <c r="G179" s="1" t="s">
        <v>442</v>
      </c>
      <c r="H179" s="1" t="s">
        <v>16</v>
      </c>
      <c r="I179">
        <v>48</v>
      </c>
      <c r="J179">
        <v>11</v>
      </c>
      <c r="K179">
        <f t="shared" si="2"/>
        <v>18.400000000000002</v>
      </c>
    </row>
    <row r="180" spans="1:11" hidden="1">
      <c r="A180" t="s">
        <v>441</v>
      </c>
      <c r="B180" s="1" t="s">
        <v>435</v>
      </c>
      <c r="C180" s="1" t="s">
        <v>12</v>
      </c>
      <c r="D180" s="1" t="s">
        <v>37</v>
      </c>
      <c r="E180" s="1">
        <v>2020</v>
      </c>
      <c r="F180" s="1" t="s">
        <v>14</v>
      </c>
      <c r="G180" s="1" t="s">
        <v>443</v>
      </c>
      <c r="H180" s="1" t="s">
        <v>16</v>
      </c>
      <c r="I180">
        <v>55</v>
      </c>
      <c r="J180">
        <v>13</v>
      </c>
      <c r="K180">
        <f t="shared" si="2"/>
        <v>21.4</v>
      </c>
    </row>
    <row r="181" spans="1:11" hidden="1">
      <c r="A181" t="s">
        <v>444</v>
      </c>
      <c r="B181" s="1" t="s">
        <v>435</v>
      </c>
      <c r="C181" s="1" t="s">
        <v>12</v>
      </c>
      <c r="D181" s="1" t="s">
        <v>37</v>
      </c>
      <c r="E181" s="1">
        <v>2020</v>
      </c>
      <c r="F181" s="1" t="s">
        <v>14</v>
      </c>
      <c r="G181" s="1" t="s">
        <v>443</v>
      </c>
      <c r="H181" s="1" t="s">
        <v>16</v>
      </c>
      <c r="I181">
        <v>72</v>
      </c>
      <c r="J181">
        <v>10</v>
      </c>
      <c r="K181">
        <f t="shared" si="2"/>
        <v>22.4</v>
      </c>
    </row>
    <row r="182" spans="1:11" hidden="1">
      <c r="A182" t="s">
        <v>439</v>
      </c>
      <c r="B182" s="1" t="s">
        <v>435</v>
      </c>
      <c r="C182" s="1" t="s">
        <v>12</v>
      </c>
      <c r="D182" s="1" t="s">
        <v>37</v>
      </c>
      <c r="E182" s="1">
        <v>2021</v>
      </c>
      <c r="F182" s="1" t="s">
        <v>14</v>
      </c>
      <c r="G182" s="2" t="s">
        <v>443</v>
      </c>
      <c r="H182" s="1" t="s">
        <v>16</v>
      </c>
      <c r="I182">
        <v>94</v>
      </c>
      <c r="J182">
        <v>7</v>
      </c>
      <c r="K182">
        <f t="shared" si="2"/>
        <v>24.400000000000002</v>
      </c>
    </row>
    <row r="183" spans="1:11" hidden="1">
      <c r="A183" t="s">
        <v>439</v>
      </c>
      <c r="B183" s="1" t="s">
        <v>435</v>
      </c>
      <c r="C183" s="1" t="s">
        <v>12</v>
      </c>
      <c r="D183" s="1" t="s">
        <v>30</v>
      </c>
      <c r="E183" s="1">
        <v>2021</v>
      </c>
      <c r="F183" s="1" t="s">
        <v>14</v>
      </c>
      <c r="G183" s="1" t="s">
        <v>443</v>
      </c>
      <c r="H183" s="1" t="s">
        <v>16</v>
      </c>
      <c r="I183">
        <v>69</v>
      </c>
      <c r="J183">
        <v>4</v>
      </c>
      <c r="K183">
        <f t="shared" si="2"/>
        <v>17</v>
      </c>
    </row>
    <row r="184" spans="1:11" hidden="1">
      <c r="A184" t="s">
        <v>446</v>
      </c>
      <c r="B184" s="1" t="s">
        <v>435</v>
      </c>
      <c r="C184" s="1" t="s">
        <v>12</v>
      </c>
      <c r="D184" s="1" t="s">
        <v>37</v>
      </c>
      <c r="E184" s="1">
        <v>2021</v>
      </c>
      <c r="F184" s="1" t="s">
        <v>14</v>
      </c>
      <c r="G184" s="1" t="s">
        <v>443</v>
      </c>
      <c r="H184" s="1" t="s">
        <v>16</v>
      </c>
      <c r="I184">
        <v>29</v>
      </c>
      <c r="J184">
        <v>3</v>
      </c>
      <c r="K184">
        <f t="shared" si="2"/>
        <v>8.2000000000000011</v>
      </c>
    </row>
    <row r="185" spans="1:11" hidden="1">
      <c r="A185" t="s">
        <v>447</v>
      </c>
      <c r="B185" s="1" t="s">
        <v>435</v>
      </c>
      <c r="C185" s="1" t="s">
        <v>12</v>
      </c>
      <c r="D185" s="1" t="s">
        <v>37</v>
      </c>
      <c r="E185" s="1">
        <v>2020</v>
      </c>
      <c r="F185" s="1" t="s">
        <v>14</v>
      </c>
      <c r="G185" s="2" t="s">
        <v>443</v>
      </c>
      <c r="H185" s="1" t="s">
        <v>16</v>
      </c>
      <c r="I185">
        <v>87</v>
      </c>
      <c r="J185">
        <v>13</v>
      </c>
      <c r="K185">
        <f t="shared" si="2"/>
        <v>27.800000000000004</v>
      </c>
    </row>
    <row r="186" spans="1:11" hidden="1">
      <c r="A186" t="s">
        <v>449</v>
      </c>
      <c r="B186" s="1" t="s">
        <v>435</v>
      </c>
      <c r="C186" s="1" t="s">
        <v>25</v>
      </c>
      <c r="D186" s="1" t="s">
        <v>37</v>
      </c>
      <c r="E186" s="1">
        <v>2021</v>
      </c>
      <c r="F186" s="1" t="s">
        <v>14</v>
      </c>
      <c r="G186" s="1" t="s">
        <v>450</v>
      </c>
      <c r="H186" s="1" t="s">
        <v>16</v>
      </c>
      <c r="I186">
        <v>68</v>
      </c>
      <c r="J186">
        <v>1</v>
      </c>
      <c r="K186">
        <f t="shared" si="2"/>
        <v>14.400000000000002</v>
      </c>
    </row>
    <row r="187" spans="1:11">
      <c r="A187" t="s">
        <v>451</v>
      </c>
      <c r="B187" s="1" t="s">
        <v>435</v>
      </c>
      <c r="C187" s="1" t="s">
        <v>12</v>
      </c>
      <c r="D187" s="1" t="s">
        <v>37</v>
      </c>
      <c r="E187" s="1">
        <v>2021</v>
      </c>
      <c r="F187" s="1" t="s">
        <v>14</v>
      </c>
      <c r="G187" s="1" t="s">
        <v>450</v>
      </c>
      <c r="H187" s="1" t="s">
        <v>16</v>
      </c>
      <c r="I187">
        <v>92</v>
      </c>
      <c r="J187">
        <v>14</v>
      </c>
      <c r="K187">
        <f t="shared" si="2"/>
        <v>29.6</v>
      </c>
    </row>
    <row r="188" spans="1:11" hidden="1">
      <c r="A188" t="s">
        <v>453</v>
      </c>
      <c r="B188" s="1" t="s">
        <v>435</v>
      </c>
      <c r="C188" s="1" t="s">
        <v>12</v>
      </c>
      <c r="D188" s="1" t="s">
        <v>37</v>
      </c>
      <c r="E188" s="1">
        <v>2021</v>
      </c>
      <c r="F188" s="1" t="s">
        <v>14</v>
      </c>
      <c r="G188" s="1" t="s">
        <v>454</v>
      </c>
      <c r="H188" s="1" t="s">
        <v>16</v>
      </c>
      <c r="I188">
        <v>51</v>
      </c>
      <c r="J188">
        <v>14</v>
      </c>
      <c r="K188">
        <f t="shared" si="2"/>
        <v>21.400000000000002</v>
      </c>
    </row>
    <row r="189" spans="1:11">
      <c r="A189" t="s">
        <v>455</v>
      </c>
      <c r="B189" s="1" t="s">
        <v>435</v>
      </c>
      <c r="C189" s="1" t="s">
        <v>25</v>
      </c>
      <c r="D189" s="1" t="s">
        <v>37</v>
      </c>
      <c r="E189" s="1">
        <v>2016</v>
      </c>
      <c r="F189" s="1" t="s">
        <v>14</v>
      </c>
      <c r="G189" s="1" t="s">
        <v>454</v>
      </c>
      <c r="H189" s="1" t="s">
        <v>16</v>
      </c>
      <c r="I189">
        <v>95</v>
      </c>
      <c r="J189">
        <v>15</v>
      </c>
      <c r="K189">
        <f t="shared" si="2"/>
        <v>31</v>
      </c>
    </row>
    <row r="190" spans="1:11">
      <c r="A190" t="s">
        <v>458</v>
      </c>
      <c r="B190" s="1" t="s">
        <v>435</v>
      </c>
      <c r="C190" s="1" t="s">
        <v>12</v>
      </c>
      <c r="D190" s="1" t="s">
        <v>37</v>
      </c>
      <c r="E190" s="1">
        <v>2019</v>
      </c>
      <c r="F190" s="1" t="s">
        <v>14</v>
      </c>
      <c r="G190" s="1" t="s">
        <v>459</v>
      </c>
      <c r="H190" s="1" t="s">
        <v>16</v>
      </c>
      <c r="I190">
        <v>87</v>
      </c>
      <c r="J190">
        <v>19</v>
      </c>
      <c r="K190">
        <f t="shared" si="2"/>
        <v>32.6</v>
      </c>
    </row>
    <row r="191" spans="1:11">
      <c r="A191" t="s">
        <v>460</v>
      </c>
      <c r="B191" s="1" t="s">
        <v>435</v>
      </c>
      <c r="C191" s="1" t="s">
        <v>12</v>
      </c>
      <c r="D191" s="1" t="s">
        <v>37</v>
      </c>
      <c r="E191" s="1">
        <v>2016</v>
      </c>
      <c r="F191" s="1" t="s">
        <v>14</v>
      </c>
      <c r="G191" s="1" t="s">
        <v>461</v>
      </c>
      <c r="H191" s="1" t="s">
        <v>16</v>
      </c>
      <c r="I191">
        <v>95</v>
      </c>
      <c r="J191">
        <v>18</v>
      </c>
      <c r="K191">
        <f t="shared" si="2"/>
        <v>33.4</v>
      </c>
    </row>
    <row r="192" spans="1:11" hidden="1">
      <c r="A192" t="s">
        <v>464</v>
      </c>
      <c r="B192" s="1" t="s">
        <v>435</v>
      </c>
      <c r="C192" s="1" t="s">
        <v>12</v>
      </c>
      <c r="D192" s="1" t="s">
        <v>37</v>
      </c>
      <c r="E192" s="1">
        <v>2021</v>
      </c>
      <c r="F192" s="1" t="s">
        <v>14</v>
      </c>
      <c r="G192" s="1" t="s">
        <v>465</v>
      </c>
      <c r="H192" s="1" t="s">
        <v>16</v>
      </c>
      <c r="I192">
        <v>82</v>
      </c>
      <c r="J192">
        <v>11</v>
      </c>
      <c r="K192">
        <f t="shared" si="2"/>
        <v>25.200000000000003</v>
      </c>
    </row>
    <row r="193" spans="1:11" hidden="1">
      <c r="A193" t="s">
        <v>466</v>
      </c>
      <c r="B193" s="1" t="s">
        <v>435</v>
      </c>
      <c r="C193" s="1" t="s">
        <v>12</v>
      </c>
      <c r="D193" s="1" t="s">
        <v>37</v>
      </c>
      <c r="E193" s="1">
        <v>2021</v>
      </c>
      <c r="F193" s="1" t="s">
        <v>241</v>
      </c>
      <c r="G193" s="1" t="s">
        <v>465</v>
      </c>
      <c r="H193" s="1" t="s">
        <v>16</v>
      </c>
      <c r="I193">
        <v>81</v>
      </c>
      <c r="J193">
        <v>7</v>
      </c>
      <c r="K193">
        <f t="shared" si="2"/>
        <v>21.8</v>
      </c>
    </row>
    <row r="194" spans="1:11">
      <c r="A194" t="s">
        <v>470</v>
      </c>
      <c r="B194" s="1" t="s">
        <v>435</v>
      </c>
      <c r="C194" s="1" t="s">
        <v>12</v>
      </c>
      <c r="D194" s="1" t="s">
        <v>37</v>
      </c>
      <c r="E194" s="1">
        <v>2020</v>
      </c>
      <c r="F194" s="1" t="s">
        <v>14</v>
      </c>
      <c r="G194" s="1" t="s">
        <v>471</v>
      </c>
      <c r="H194" s="1" t="s">
        <v>16</v>
      </c>
      <c r="I194">
        <v>99</v>
      </c>
      <c r="J194">
        <v>15</v>
      </c>
      <c r="K194">
        <f t="shared" si="2"/>
        <v>31.8</v>
      </c>
    </row>
    <row r="195" spans="1:11" hidden="1">
      <c r="A195" t="s">
        <v>472</v>
      </c>
      <c r="B195" s="1" t="s">
        <v>473</v>
      </c>
      <c r="C195" s="1" t="s">
        <v>12</v>
      </c>
      <c r="D195" s="1" t="s">
        <v>37</v>
      </c>
      <c r="E195" s="1">
        <v>2021</v>
      </c>
      <c r="F195" s="1" t="s">
        <v>14</v>
      </c>
      <c r="G195" s="1" t="s">
        <v>474</v>
      </c>
      <c r="H195" s="1" t="s">
        <v>16</v>
      </c>
      <c r="I195">
        <v>74</v>
      </c>
      <c r="J195">
        <v>15</v>
      </c>
      <c r="K195">
        <f t="shared" ref="K195:K258" si="3">I195*20%+J195*80%</f>
        <v>26.8</v>
      </c>
    </row>
    <row r="196" spans="1:11" hidden="1">
      <c r="A196" t="s">
        <v>472</v>
      </c>
      <c r="B196" s="1" t="s">
        <v>435</v>
      </c>
      <c r="C196" s="1" t="s">
        <v>25</v>
      </c>
      <c r="D196" s="1" t="s">
        <v>26</v>
      </c>
      <c r="E196" s="1">
        <v>2021</v>
      </c>
      <c r="F196" s="1" t="s">
        <v>14</v>
      </c>
      <c r="G196" s="1" t="s">
        <v>476</v>
      </c>
      <c r="H196" s="1" t="s">
        <v>16</v>
      </c>
      <c r="I196">
        <v>21</v>
      </c>
      <c r="J196">
        <v>12</v>
      </c>
      <c r="K196">
        <f t="shared" si="3"/>
        <v>13.8</v>
      </c>
    </row>
    <row r="197" spans="1:11" hidden="1">
      <c r="A197" t="s">
        <v>477</v>
      </c>
      <c r="B197" s="1" t="s">
        <v>478</v>
      </c>
      <c r="C197" s="1" t="s">
        <v>25</v>
      </c>
      <c r="D197" s="1" t="s">
        <v>37</v>
      </c>
      <c r="E197" s="1">
        <v>2021</v>
      </c>
      <c r="F197" s="1" t="s">
        <v>14</v>
      </c>
      <c r="G197" s="1" t="s">
        <v>479</v>
      </c>
      <c r="H197" s="1" t="s">
        <v>16</v>
      </c>
      <c r="I197">
        <v>88</v>
      </c>
      <c r="J197">
        <v>6</v>
      </c>
      <c r="K197">
        <f t="shared" si="3"/>
        <v>22.400000000000002</v>
      </c>
    </row>
    <row r="198" spans="1:11" hidden="1">
      <c r="A198" t="s">
        <v>483</v>
      </c>
      <c r="B198" s="1" t="s">
        <v>484</v>
      </c>
      <c r="C198" s="1" t="s">
        <v>12</v>
      </c>
      <c r="D198" s="1" t="s">
        <v>37</v>
      </c>
      <c r="E198" s="1">
        <v>2020</v>
      </c>
      <c r="F198" s="1" t="s">
        <v>14</v>
      </c>
      <c r="G198" s="1" t="s">
        <v>485</v>
      </c>
      <c r="H198" s="1" t="s">
        <v>16</v>
      </c>
      <c r="I198">
        <v>78</v>
      </c>
      <c r="J198">
        <v>3</v>
      </c>
      <c r="K198">
        <f t="shared" si="3"/>
        <v>18</v>
      </c>
    </row>
    <row r="199" spans="1:11" hidden="1">
      <c r="A199" t="s">
        <v>483</v>
      </c>
      <c r="B199" s="1" t="s">
        <v>486</v>
      </c>
      <c r="C199" s="1" t="s">
        <v>12</v>
      </c>
      <c r="D199" s="1" t="s">
        <v>37</v>
      </c>
      <c r="E199" s="1">
        <v>2021</v>
      </c>
      <c r="F199" s="1" t="s">
        <v>14</v>
      </c>
      <c r="G199" s="1" t="s">
        <v>485</v>
      </c>
      <c r="H199" s="1" t="s">
        <v>16</v>
      </c>
      <c r="I199">
        <v>97</v>
      </c>
      <c r="J199">
        <v>5</v>
      </c>
      <c r="K199">
        <f t="shared" si="3"/>
        <v>23.400000000000002</v>
      </c>
    </row>
    <row r="200" spans="1:11" hidden="1">
      <c r="A200" t="s">
        <v>490</v>
      </c>
      <c r="B200" s="1" t="s">
        <v>491</v>
      </c>
      <c r="C200" s="1" t="s">
        <v>12</v>
      </c>
      <c r="D200" s="1" t="s">
        <v>37</v>
      </c>
      <c r="E200" s="1">
        <v>2021</v>
      </c>
      <c r="F200" s="1" t="s">
        <v>14</v>
      </c>
      <c r="G200" s="1" t="s">
        <v>492</v>
      </c>
      <c r="H200" s="1" t="s">
        <v>16</v>
      </c>
      <c r="I200">
        <v>78</v>
      </c>
      <c r="J200">
        <v>5</v>
      </c>
      <c r="K200">
        <f t="shared" si="3"/>
        <v>19.600000000000001</v>
      </c>
    </row>
    <row r="201" spans="1:11" hidden="1">
      <c r="A201" t="s">
        <v>493</v>
      </c>
      <c r="B201" s="1" t="s">
        <v>494</v>
      </c>
      <c r="C201" s="1" t="s">
        <v>25</v>
      </c>
      <c r="D201" s="1" t="s">
        <v>64</v>
      </c>
      <c r="E201" s="1">
        <v>2018</v>
      </c>
      <c r="F201" s="1" t="s">
        <v>14</v>
      </c>
      <c r="G201" s="1" t="s">
        <v>495</v>
      </c>
      <c r="H201" s="1" t="s">
        <v>16</v>
      </c>
      <c r="I201">
        <v>40</v>
      </c>
      <c r="J201">
        <v>19</v>
      </c>
      <c r="K201">
        <f t="shared" si="3"/>
        <v>23.200000000000003</v>
      </c>
    </row>
    <row r="202" spans="1:11" hidden="1">
      <c r="A202" t="s">
        <v>498</v>
      </c>
      <c r="B202" s="1" t="s">
        <v>499</v>
      </c>
      <c r="C202" s="1" t="s">
        <v>12</v>
      </c>
      <c r="D202" s="1" t="s">
        <v>37</v>
      </c>
      <c r="E202" s="1">
        <v>2021</v>
      </c>
      <c r="F202" s="1" t="s">
        <v>14</v>
      </c>
      <c r="G202" s="1" t="s">
        <v>500</v>
      </c>
      <c r="H202" s="1" t="s">
        <v>16</v>
      </c>
      <c r="I202">
        <v>52</v>
      </c>
      <c r="J202">
        <v>1</v>
      </c>
      <c r="K202">
        <f t="shared" si="3"/>
        <v>11.200000000000001</v>
      </c>
    </row>
    <row r="203" spans="1:11" hidden="1">
      <c r="A203" t="s">
        <v>501</v>
      </c>
      <c r="B203" s="1" t="s">
        <v>499</v>
      </c>
      <c r="C203" s="1" t="s">
        <v>12</v>
      </c>
      <c r="D203" s="1" t="s">
        <v>37</v>
      </c>
      <c r="E203" s="1">
        <v>2022</v>
      </c>
      <c r="F203" s="1" t="s">
        <v>14</v>
      </c>
      <c r="G203" s="2" t="s">
        <v>500</v>
      </c>
      <c r="H203" s="1" t="s">
        <v>16</v>
      </c>
      <c r="I203">
        <v>36</v>
      </c>
      <c r="J203">
        <v>13</v>
      </c>
      <c r="K203">
        <f t="shared" si="3"/>
        <v>17.600000000000001</v>
      </c>
    </row>
    <row r="204" spans="1:11" hidden="1">
      <c r="A204" t="s">
        <v>504</v>
      </c>
      <c r="B204" s="1" t="s">
        <v>503</v>
      </c>
      <c r="C204" s="1" t="s">
        <v>12</v>
      </c>
      <c r="D204" s="1" t="s">
        <v>37</v>
      </c>
      <c r="E204" s="1">
        <v>2022</v>
      </c>
      <c r="F204" s="1" t="s">
        <v>14</v>
      </c>
      <c r="G204" s="2" t="s">
        <v>500</v>
      </c>
      <c r="H204" s="1" t="s">
        <v>16</v>
      </c>
      <c r="I204">
        <v>82</v>
      </c>
      <c r="J204">
        <v>11</v>
      </c>
      <c r="K204">
        <f t="shared" si="3"/>
        <v>25.200000000000003</v>
      </c>
    </row>
    <row r="205" spans="1:11" hidden="1">
      <c r="A205" t="s">
        <v>505</v>
      </c>
      <c r="B205" s="1" t="s">
        <v>506</v>
      </c>
      <c r="C205" s="1" t="s">
        <v>12</v>
      </c>
      <c r="D205" s="1" t="s">
        <v>37</v>
      </c>
      <c r="E205" s="1">
        <v>2022</v>
      </c>
      <c r="F205" s="1" t="s">
        <v>14</v>
      </c>
      <c r="G205" s="2" t="s">
        <v>500</v>
      </c>
      <c r="H205" s="1" t="s">
        <v>16</v>
      </c>
      <c r="I205">
        <v>95</v>
      </c>
      <c r="J205">
        <v>1</v>
      </c>
      <c r="K205">
        <f t="shared" si="3"/>
        <v>19.8</v>
      </c>
    </row>
    <row r="206" spans="1:11" hidden="1">
      <c r="A206" t="s">
        <v>508</v>
      </c>
      <c r="B206" s="1" t="s">
        <v>509</v>
      </c>
      <c r="C206" s="1" t="s">
        <v>12</v>
      </c>
      <c r="D206" s="1" t="s">
        <v>37</v>
      </c>
      <c r="E206" s="1">
        <v>2019</v>
      </c>
      <c r="F206" s="1" t="s">
        <v>14</v>
      </c>
      <c r="G206" s="2" t="s">
        <v>500</v>
      </c>
      <c r="H206" s="1" t="s">
        <v>16</v>
      </c>
      <c r="I206">
        <v>98</v>
      </c>
      <c r="J206">
        <v>3</v>
      </c>
      <c r="K206">
        <f t="shared" si="3"/>
        <v>22</v>
      </c>
    </row>
    <row r="207" spans="1:11">
      <c r="A207" t="s">
        <v>510</v>
      </c>
      <c r="B207" s="1" t="s">
        <v>511</v>
      </c>
      <c r="C207" s="1" t="s">
        <v>12</v>
      </c>
      <c r="D207" s="1" t="s">
        <v>37</v>
      </c>
      <c r="E207" s="1">
        <v>2020</v>
      </c>
      <c r="F207" s="1" t="s">
        <v>14</v>
      </c>
      <c r="G207" s="2" t="s">
        <v>500</v>
      </c>
      <c r="H207" s="1" t="s">
        <v>16</v>
      </c>
      <c r="I207">
        <v>96</v>
      </c>
      <c r="J207">
        <v>19</v>
      </c>
      <c r="K207">
        <f t="shared" si="3"/>
        <v>34.400000000000006</v>
      </c>
    </row>
    <row r="208" spans="1:11" hidden="1">
      <c r="A208" t="s">
        <v>512</v>
      </c>
      <c r="B208" s="1" t="s">
        <v>511</v>
      </c>
      <c r="C208" s="1" t="s">
        <v>12</v>
      </c>
      <c r="D208" s="1" t="s">
        <v>37</v>
      </c>
      <c r="E208" s="1">
        <v>2021</v>
      </c>
      <c r="F208" s="1" t="s">
        <v>14</v>
      </c>
      <c r="G208" s="1" t="s">
        <v>513</v>
      </c>
      <c r="H208" s="1" t="s">
        <v>16</v>
      </c>
      <c r="I208">
        <v>32</v>
      </c>
      <c r="J208">
        <v>12</v>
      </c>
      <c r="K208">
        <f t="shared" si="3"/>
        <v>16</v>
      </c>
    </row>
    <row r="209" spans="1:11" hidden="1">
      <c r="A209" t="s">
        <v>514</v>
      </c>
      <c r="B209" s="1" t="s">
        <v>511</v>
      </c>
      <c r="C209" s="1" t="s">
        <v>12</v>
      </c>
      <c r="D209" s="1" t="s">
        <v>37</v>
      </c>
      <c r="E209" s="1">
        <v>2021</v>
      </c>
      <c r="F209" s="1" t="s">
        <v>14</v>
      </c>
      <c r="G209" s="1" t="s">
        <v>500</v>
      </c>
      <c r="H209" s="1" t="s">
        <v>16</v>
      </c>
      <c r="I209">
        <v>61</v>
      </c>
      <c r="J209">
        <v>5</v>
      </c>
      <c r="K209">
        <f t="shared" si="3"/>
        <v>16.200000000000003</v>
      </c>
    </row>
    <row r="210" spans="1:11">
      <c r="A210" t="s">
        <v>517</v>
      </c>
      <c r="B210" s="1" t="s">
        <v>515</v>
      </c>
      <c r="C210" s="1" t="s">
        <v>25</v>
      </c>
      <c r="D210" s="1" t="s">
        <v>64</v>
      </c>
      <c r="E210" s="1">
        <v>2018</v>
      </c>
      <c r="F210" s="1" t="s">
        <v>53</v>
      </c>
      <c r="G210" s="1" t="s">
        <v>518</v>
      </c>
      <c r="H210" s="1" t="s">
        <v>16</v>
      </c>
      <c r="I210">
        <v>80</v>
      </c>
      <c r="J210">
        <v>20</v>
      </c>
      <c r="K210">
        <f t="shared" si="3"/>
        <v>32</v>
      </c>
    </row>
    <row r="211" spans="1:11" hidden="1">
      <c r="A211" t="s">
        <v>519</v>
      </c>
      <c r="B211" s="1" t="s">
        <v>520</v>
      </c>
      <c r="C211" s="1" t="s">
        <v>12</v>
      </c>
      <c r="D211" s="1" t="s">
        <v>37</v>
      </c>
      <c r="E211" s="1">
        <v>2017</v>
      </c>
      <c r="F211" s="1" t="s">
        <v>14</v>
      </c>
      <c r="G211" s="1" t="s">
        <v>518</v>
      </c>
      <c r="H211" s="1" t="s">
        <v>16</v>
      </c>
      <c r="I211">
        <v>60</v>
      </c>
      <c r="J211">
        <v>13</v>
      </c>
      <c r="K211">
        <f t="shared" si="3"/>
        <v>22.4</v>
      </c>
    </row>
    <row r="212" spans="1:11" hidden="1">
      <c r="A212" t="s">
        <v>521</v>
      </c>
      <c r="B212" s="1" t="s">
        <v>523</v>
      </c>
      <c r="C212" s="1" t="s">
        <v>12</v>
      </c>
      <c r="D212" s="1" t="s">
        <v>37</v>
      </c>
      <c r="E212" s="1">
        <v>2022</v>
      </c>
      <c r="F212" s="1" t="s">
        <v>14</v>
      </c>
      <c r="G212" s="1" t="s">
        <v>524</v>
      </c>
      <c r="H212" s="1" t="s">
        <v>16</v>
      </c>
      <c r="I212">
        <v>69</v>
      </c>
      <c r="J212">
        <v>2</v>
      </c>
      <c r="K212">
        <f t="shared" si="3"/>
        <v>15.4</v>
      </c>
    </row>
    <row r="213" spans="1:11" hidden="1">
      <c r="A213" t="s">
        <v>525</v>
      </c>
      <c r="B213" s="1" t="s">
        <v>526</v>
      </c>
      <c r="C213" s="1" t="s">
        <v>25</v>
      </c>
      <c r="D213" s="1" t="s">
        <v>64</v>
      </c>
      <c r="E213" s="1">
        <v>2019</v>
      </c>
      <c r="F213" s="1" t="s">
        <v>14</v>
      </c>
      <c r="G213" s="1" t="s">
        <v>527</v>
      </c>
      <c r="H213" s="1" t="s">
        <v>16</v>
      </c>
      <c r="I213">
        <v>95</v>
      </c>
      <c r="J213">
        <v>11</v>
      </c>
      <c r="K213">
        <f t="shared" si="3"/>
        <v>27.8</v>
      </c>
    </row>
    <row r="214" spans="1:11" hidden="1">
      <c r="A214" t="s">
        <v>529</v>
      </c>
      <c r="B214" s="1" t="s">
        <v>530</v>
      </c>
      <c r="C214" s="1" t="s">
        <v>25</v>
      </c>
      <c r="D214" s="1" t="s">
        <v>37</v>
      </c>
      <c r="E214" s="1">
        <v>2021</v>
      </c>
      <c r="F214" s="1" t="s">
        <v>14</v>
      </c>
      <c r="G214" s="1" t="s">
        <v>527</v>
      </c>
      <c r="H214" s="1" t="s">
        <v>16</v>
      </c>
      <c r="I214">
        <v>66</v>
      </c>
      <c r="J214">
        <v>6</v>
      </c>
      <c r="K214">
        <f t="shared" si="3"/>
        <v>18</v>
      </c>
    </row>
    <row r="215" spans="1:11" hidden="1">
      <c r="A215" t="s">
        <v>531</v>
      </c>
      <c r="B215" s="1" t="s">
        <v>532</v>
      </c>
      <c r="C215" s="1" t="s">
        <v>12</v>
      </c>
      <c r="D215" s="1" t="s">
        <v>37</v>
      </c>
      <c r="E215" s="1">
        <v>2020</v>
      </c>
      <c r="F215" s="1" t="s">
        <v>14</v>
      </c>
      <c r="G215" s="1" t="s">
        <v>533</v>
      </c>
      <c r="H215" s="1" t="s">
        <v>16</v>
      </c>
      <c r="I215">
        <v>42</v>
      </c>
      <c r="J215">
        <v>4</v>
      </c>
      <c r="K215">
        <f t="shared" si="3"/>
        <v>11.600000000000001</v>
      </c>
    </row>
    <row r="216" spans="1:11">
      <c r="A216" t="s">
        <v>537</v>
      </c>
      <c r="B216" s="1" t="s">
        <v>538</v>
      </c>
      <c r="C216" s="1" t="s">
        <v>12</v>
      </c>
      <c r="D216" s="1" t="s">
        <v>30</v>
      </c>
      <c r="E216" s="1">
        <v>2019</v>
      </c>
      <c r="F216" s="1" t="s">
        <v>14</v>
      </c>
      <c r="G216" s="1" t="s">
        <v>539</v>
      </c>
      <c r="H216" s="1" t="s">
        <v>16</v>
      </c>
      <c r="I216">
        <v>94</v>
      </c>
      <c r="J216">
        <v>20</v>
      </c>
      <c r="K216">
        <f t="shared" si="3"/>
        <v>34.799999999999997</v>
      </c>
    </row>
    <row r="217" spans="1:11" hidden="1">
      <c r="A217" t="s">
        <v>540</v>
      </c>
      <c r="B217" s="1" t="s">
        <v>541</v>
      </c>
      <c r="C217" s="1" t="s">
        <v>12</v>
      </c>
      <c r="D217" s="1" t="s">
        <v>30</v>
      </c>
      <c r="E217" s="1">
        <v>2022</v>
      </c>
      <c r="F217" s="1" t="s">
        <v>14</v>
      </c>
      <c r="G217" s="1" t="s">
        <v>542</v>
      </c>
      <c r="H217" s="1" t="s">
        <v>16</v>
      </c>
      <c r="I217">
        <v>96</v>
      </c>
      <c r="J217">
        <v>1</v>
      </c>
      <c r="K217">
        <f t="shared" si="3"/>
        <v>20.000000000000004</v>
      </c>
    </row>
    <row r="218" spans="1:11" hidden="1">
      <c r="A218" t="s">
        <v>546</v>
      </c>
      <c r="B218" s="1" t="s">
        <v>544</v>
      </c>
      <c r="C218" s="1" t="s">
        <v>25</v>
      </c>
      <c r="D218" s="1" t="s">
        <v>64</v>
      </c>
      <c r="E218" s="1">
        <v>2022</v>
      </c>
      <c r="F218" s="1" t="s">
        <v>14</v>
      </c>
      <c r="G218" s="1" t="s">
        <v>547</v>
      </c>
      <c r="H218" s="1" t="s">
        <v>16</v>
      </c>
      <c r="I218">
        <v>36</v>
      </c>
      <c r="J218">
        <v>10</v>
      </c>
      <c r="K218">
        <f t="shared" si="3"/>
        <v>15.2</v>
      </c>
    </row>
    <row r="219" spans="1:11" hidden="1">
      <c r="A219" t="s">
        <v>548</v>
      </c>
      <c r="B219" s="1" t="s">
        <v>544</v>
      </c>
      <c r="C219" s="1" t="s">
        <v>25</v>
      </c>
      <c r="D219" s="1" t="s">
        <v>37</v>
      </c>
      <c r="E219" s="1">
        <v>2018</v>
      </c>
      <c r="F219" s="1" t="s">
        <v>14</v>
      </c>
      <c r="G219" s="1" t="s">
        <v>549</v>
      </c>
      <c r="H219" s="1" t="s">
        <v>16</v>
      </c>
      <c r="I219">
        <v>95</v>
      </c>
      <c r="J219">
        <v>9</v>
      </c>
      <c r="K219">
        <f t="shared" si="3"/>
        <v>26.2</v>
      </c>
    </row>
    <row r="220" spans="1:11">
      <c r="A220" t="s">
        <v>552</v>
      </c>
      <c r="B220" s="1" t="s">
        <v>551</v>
      </c>
      <c r="C220" s="1" t="s">
        <v>25</v>
      </c>
      <c r="D220" s="1" t="s">
        <v>64</v>
      </c>
      <c r="E220" s="1">
        <v>2021</v>
      </c>
      <c r="F220" s="1" t="s">
        <v>14</v>
      </c>
      <c r="G220" s="2" t="s">
        <v>549</v>
      </c>
      <c r="H220" s="1" t="s">
        <v>16</v>
      </c>
      <c r="I220">
        <v>100</v>
      </c>
      <c r="J220">
        <v>20</v>
      </c>
      <c r="K220">
        <f t="shared" si="3"/>
        <v>36</v>
      </c>
    </row>
    <row r="221" spans="1:11" hidden="1">
      <c r="A221" t="s">
        <v>550</v>
      </c>
      <c r="B221" s="1" t="s">
        <v>553</v>
      </c>
      <c r="C221" s="1" t="s">
        <v>12</v>
      </c>
      <c r="D221" s="1" t="s">
        <v>30</v>
      </c>
      <c r="E221" s="1">
        <v>2021</v>
      </c>
      <c r="F221" s="1" t="s">
        <v>14</v>
      </c>
      <c r="G221" s="2" t="s">
        <v>549</v>
      </c>
      <c r="H221" s="1" t="s">
        <v>16</v>
      </c>
      <c r="I221">
        <v>34</v>
      </c>
      <c r="J221">
        <v>9</v>
      </c>
      <c r="K221">
        <f t="shared" si="3"/>
        <v>14</v>
      </c>
    </row>
    <row r="222" spans="1:11">
      <c r="A222" t="s">
        <v>552</v>
      </c>
      <c r="B222" s="1" t="s">
        <v>555</v>
      </c>
      <c r="C222" s="1" t="s">
        <v>25</v>
      </c>
      <c r="D222" s="1" t="s">
        <v>37</v>
      </c>
      <c r="E222" s="1">
        <v>2021</v>
      </c>
      <c r="F222" s="1" t="s">
        <v>14</v>
      </c>
      <c r="G222" s="1" t="s">
        <v>549</v>
      </c>
      <c r="H222" s="1" t="s">
        <v>16</v>
      </c>
      <c r="I222">
        <v>62</v>
      </c>
      <c r="J222">
        <v>20</v>
      </c>
      <c r="K222">
        <f t="shared" si="3"/>
        <v>28.4</v>
      </c>
    </row>
    <row r="223" spans="1:11" hidden="1">
      <c r="A223" t="s">
        <v>556</v>
      </c>
      <c r="B223" s="1" t="s">
        <v>557</v>
      </c>
      <c r="C223" s="1" t="s">
        <v>25</v>
      </c>
      <c r="D223" s="1" t="s">
        <v>37</v>
      </c>
      <c r="E223" s="1">
        <v>2017</v>
      </c>
      <c r="F223" s="1" t="s">
        <v>14</v>
      </c>
      <c r="G223" s="1" t="s">
        <v>549</v>
      </c>
      <c r="H223" s="1" t="s">
        <v>16</v>
      </c>
      <c r="I223">
        <v>31</v>
      </c>
      <c r="J223">
        <v>18</v>
      </c>
      <c r="K223">
        <f t="shared" si="3"/>
        <v>20.6</v>
      </c>
    </row>
    <row r="224" spans="1:11">
      <c r="A224" t="s">
        <v>558</v>
      </c>
      <c r="B224" s="1" t="s">
        <v>560</v>
      </c>
      <c r="C224" s="1" t="s">
        <v>12</v>
      </c>
      <c r="D224" s="1" t="s">
        <v>30</v>
      </c>
      <c r="E224" s="1">
        <v>2022</v>
      </c>
      <c r="F224" s="1" t="s">
        <v>14</v>
      </c>
      <c r="G224" s="1" t="s">
        <v>549</v>
      </c>
      <c r="H224" s="1" t="s">
        <v>16</v>
      </c>
      <c r="I224">
        <v>90</v>
      </c>
      <c r="J224">
        <v>15</v>
      </c>
      <c r="K224">
        <f t="shared" si="3"/>
        <v>30</v>
      </c>
    </row>
    <row r="225" spans="1:11" hidden="1">
      <c r="A225" t="s">
        <v>561</v>
      </c>
      <c r="B225" s="1" t="s">
        <v>562</v>
      </c>
      <c r="C225" s="1" t="s">
        <v>12</v>
      </c>
      <c r="D225" s="1" t="s">
        <v>37</v>
      </c>
      <c r="E225" s="1">
        <v>2016</v>
      </c>
      <c r="F225" s="1" t="s">
        <v>14</v>
      </c>
      <c r="G225" s="1" t="s">
        <v>563</v>
      </c>
      <c r="H225" s="1" t="s">
        <v>16</v>
      </c>
      <c r="I225">
        <v>80</v>
      </c>
      <c r="J225">
        <v>1</v>
      </c>
      <c r="K225">
        <f t="shared" si="3"/>
        <v>16.8</v>
      </c>
    </row>
    <row r="226" spans="1:11" hidden="1">
      <c r="A226" t="s">
        <v>566</v>
      </c>
      <c r="B226" s="1" t="s">
        <v>565</v>
      </c>
      <c r="C226" s="1" t="s">
        <v>25</v>
      </c>
      <c r="D226" s="1" t="s">
        <v>37</v>
      </c>
      <c r="E226" s="1">
        <v>2015</v>
      </c>
      <c r="F226" s="1" t="s">
        <v>14</v>
      </c>
      <c r="G226" s="1" t="s">
        <v>549</v>
      </c>
      <c r="H226" s="1" t="s">
        <v>16</v>
      </c>
      <c r="I226">
        <v>51</v>
      </c>
      <c r="J226">
        <v>2</v>
      </c>
      <c r="K226">
        <f t="shared" si="3"/>
        <v>11.8</v>
      </c>
    </row>
    <row r="227" spans="1:11" hidden="1">
      <c r="A227" t="s">
        <v>567</v>
      </c>
      <c r="B227" s="1" t="s">
        <v>565</v>
      </c>
      <c r="C227" s="1" t="s">
        <v>12</v>
      </c>
      <c r="D227" s="1" t="s">
        <v>37</v>
      </c>
      <c r="E227" s="1">
        <v>2022</v>
      </c>
      <c r="F227" s="1" t="s">
        <v>14</v>
      </c>
      <c r="G227" s="1" t="s">
        <v>549</v>
      </c>
      <c r="H227" s="1" t="s">
        <v>16</v>
      </c>
      <c r="I227">
        <v>34</v>
      </c>
      <c r="J227">
        <v>5</v>
      </c>
      <c r="K227">
        <f t="shared" si="3"/>
        <v>10.8</v>
      </c>
    </row>
    <row r="228" spans="1:11">
      <c r="A228" t="s">
        <v>569</v>
      </c>
      <c r="B228" s="1" t="s">
        <v>570</v>
      </c>
      <c r="C228" s="1" t="s">
        <v>25</v>
      </c>
      <c r="D228" s="1" t="s">
        <v>30</v>
      </c>
      <c r="E228" s="1">
        <v>2017</v>
      </c>
      <c r="F228" s="1" t="s">
        <v>14</v>
      </c>
      <c r="G228" s="1" t="s">
        <v>549</v>
      </c>
      <c r="H228" s="1" t="s">
        <v>16</v>
      </c>
      <c r="I228">
        <v>92</v>
      </c>
      <c r="J228">
        <v>15</v>
      </c>
      <c r="K228">
        <f t="shared" si="3"/>
        <v>30.400000000000002</v>
      </c>
    </row>
    <row r="229" spans="1:11" hidden="1">
      <c r="A229" t="s">
        <v>571</v>
      </c>
      <c r="B229" s="1" t="s">
        <v>572</v>
      </c>
      <c r="C229" s="1" t="s">
        <v>12</v>
      </c>
      <c r="D229" s="1" t="s">
        <v>26</v>
      </c>
      <c r="E229" s="1">
        <v>2022</v>
      </c>
      <c r="F229" s="1" t="s">
        <v>14</v>
      </c>
      <c r="G229" s="1" t="s">
        <v>549</v>
      </c>
      <c r="H229" s="1" t="s">
        <v>16</v>
      </c>
      <c r="I229">
        <v>74</v>
      </c>
      <c r="J229">
        <v>4</v>
      </c>
      <c r="K229">
        <f t="shared" si="3"/>
        <v>18</v>
      </c>
    </row>
    <row r="230" spans="1:11" hidden="1">
      <c r="A230" t="s">
        <v>575</v>
      </c>
      <c r="B230" s="1" t="s">
        <v>574</v>
      </c>
      <c r="C230" s="1" t="s">
        <v>25</v>
      </c>
      <c r="D230" s="1" t="s">
        <v>30</v>
      </c>
      <c r="E230" s="1">
        <v>2016</v>
      </c>
      <c r="F230" s="1" t="s">
        <v>14</v>
      </c>
      <c r="G230" s="1" t="s">
        <v>549</v>
      </c>
      <c r="H230" s="1" t="s">
        <v>16</v>
      </c>
      <c r="I230">
        <v>67</v>
      </c>
      <c r="J230">
        <v>1</v>
      </c>
      <c r="K230">
        <f t="shared" si="3"/>
        <v>14.200000000000001</v>
      </c>
    </row>
    <row r="231" spans="1:11" hidden="1">
      <c r="A231" t="s">
        <v>576</v>
      </c>
      <c r="B231" s="1" t="s">
        <v>574</v>
      </c>
      <c r="C231" s="1" t="s">
        <v>25</v>
      </c>
      <c r="D231" s="1" t="s">
        <v>37</v>
      </c>
      <c r="E231" s="1">
        <v>2019</v>
      </c>
      <c r="F231" s="1" t="s">
        <v>14</v>
      </c>
      <c r="G231" s="2" t="s">
        <v>549</v>
      </c>
      <c r="H231" s="1" t="s">
        <v>16</v>
      </c>
      <c r="I231">
        <v>29</v>
      </c>
      <c r="J231">
        <v>5</v>
      </c>
      <c r="K231">
        <f t="shared" si="3"/>
        <v>9.8000000000000007</v>
      </c>
    </row>
    <row r="232" spans="1:11" hidden="1">
      <c r="A232" t="s">
        <v>578</v>
      </c>
      <c r="B232" s="1" t="s">
        <v>574</v>
      </c>
      <c r="C232" s="1" t="s">
        <v>25</v>
      </c>
      <c r="D232" s="1" t="s">
        <v>37</v>
      </c>
      <c r="E232" s="1">
        <v>2018</v>
      </c>
      <c r="F232" s="1" t="s">
        <v>14</v>
      </c>
      <c r="G232" s="1" t="s">
        <v>549</v>
      </c>
      <c r="H232" s="1" t="s">
        <v>16</v>
      </c>
      <c r="I232">
        <v>66</v>
      </c>
      <c r="J232">
        <v>3</v>
      </c>
      <c r="K232">
        <f t="shared" si="3"/>
        <v>15.600000000000001</v>
      </c>
    </row>
    <row r="233" spans="1:11" hidden="1">
      <c r="A233" t="s">
        <v>579</v>
      </c>
      <c r="B233" s="1" t="s">
        <v>574</v>
      </c>
      <c r="C233" s="1" t="s">
        <v>12</v>
      </c>
      <c r="D233" s="1" t="s">
        <v>37</v>
      </c>
      <c r="E233" s="1">
        <v>2022</v>
      </c>
      <c r="F233" s="1" t="s">
        <v>14</v>
      </c>
      <c r="G233" s="1" t="s">
        <v>563</v>
      </c>
      <c r="H233" s="1" t="s">
        <v>16</v>
      </c>
      <c r="I233">
        <v>52</v>
      </c>
      <c r="J233">
        <v>18</v>
      </c>
      <c r="K233">
        <f t="shared" si="3"/>
        <v>24.8</v>
      </c>
    </row>
    <row r="234" spans="1:11" hidden="1">
      <c r="A234" t="s">
        <v>582</v>
      </c>
      <c r="B234" s="1" t="s">
        <v>583</v>
      </c>
      <c r="C234" s="1" t="s">
        <v>25</v>
      </c>
      <c r="D234" s="1" t="s">
        <v>37</v>
      </c>
      <c r="E234" s="1">
        <v>2021</v>
      </c>
      <c r="F234" s="1" t="s">
        <v>14</v>
      </c>
      <c r="G234" s="1" t="s">
        <v>563</v>
      </c>
      <c r="H234" s="1" t="s">
        <v>16</v>
      </c>
      <c r="I234">
        <v>22</v>
      </c>
      <c r="J234">
        <v>5</v>
      </c>
      <c r="K234">
        <f t="shared" si="3"/>
        <v>8.4</v>
      </c>
    </row>
    <row r="235" spans="1:11" hidden="1">
      <c r="A235" t="s">
        <v>580</v>
      </c>
      <c r="B235" s="1" t="s">
        <v>584</v>
      </c>
      <c r="C235" s="1" t="s">
        <v>12</v>
      </c>
      <c r="D235" s="1" t="s">
        <v>37</v>
      </c>
      <c r="E235" s="1">
        <v>2022</v>
      </c>
      <c r="F235" s="1" t="s">
        <v>14</v>
      </c>
      <c r="G235" s="1" t="s">
        <v>549</v>
      </c>
      <c r="H235" s="1" t="s">
        <v>16</v>
      </c>
      <c r="I235">
        <v>70</v>
      </c>
      <c r="J235">
        <v>14</v>
      </c>
      <c r="K235">
        <f t="shared" si="3"/>
        <v>25.200000000000003</v>
      </c>
    </row>
    <row r="236" spans="1:11" hidden="1">
      <c r="A236" t="s">
        <v>582</v>
      </c>
      <c r="B236" s="1" t="s">
        <v>586</v>
      </c>
      <c r="C236" s="1" t="s">
        <v>12</v>
      </c>
      <c r="D236" s="1" t="s">
        <v>64</v>
      </c>
      <c r="E236" s="1">
        <v>2022</v>
      </c>
      <c r="F236" s="1" t="s">
        <v>14</v>
      </c>
      <c r="G236" s="1" t="s">
        <v>549</v>
      </c>
      <c r="H236" s="1" t="s">
        <v>16</v>
      </c>
      <c r="I236">
        <v>43</v>
      </c>
      <c r="J236">
        <v>10</v>
      </c>
      <c r="K236">
        <f t="shared" si="3"/>
        <v>16.600000000000001</v>
      </c>
    </row>
    <row r="237" spans="1:11" hidden="1">
      <c r="A237" t="s">
        <v>582</v>
      </c>
      <c r="B237" s="1" t="s">
        <v>587</v>
      </c>
      <c r="C237" s="1" t="s">
        <v>25</v>
      </c>
      <c r="D237" s="1" t="s">
        <v>37</v>
      </c>
      <c r="E237" s="1">
        <v>2021</v>
      </c>
      <c r="F237" s="1" t="s">
        <v>14</v>
      </c>
      <c r="G237" s="1" t="s">
        <v>563</v>
      </c>
      <c r="H237" s="1" t="s">
        <v>16</v>
      </c>
      <c r="I237">
        <v>35</v>
      </c>
      <c r="J237">
        <v>17</v>
      </c>
      <c r="K237">
        <f t="shared" si="3"/>
        <v>20.6</v>
      </c>
    </row>
    <row r="238" spans="1:11" hidden="1">
      <c r="A238" t="s">
        <v>580</v>
      </c>
      <c r="B238" s="1" t="s">
        <v>589</v>
      </c>
      <c r="C238" s="1" t="s">
        <v>12</v>
      </c>
      <c r="D238" s="1" t="s">
        <v>37</v>
      </c>
      <c r="E238" s="1">
        <v>2022</v>
      </c>
      <c r="F238" s="1" t="s">
        <v>14</v>
      </c>
      <c r="G238" s="1" t="s">
        <v>549</v>
      </c>
      <c r="H238" s="1" t="s">
        <v>16</v>
      </c>
      <c r="I238">
        <v>81</v>
      </c>
      <c r="J238">
        <v>14</v>
      </c>
      <c r="K238">
        <f t="shared" si="3"/>
        <v>27.4</v>
      </c>
    </row>
    <row r="239" spans="1:11" hidden="1">
      <c r="A239" t="s">
        <v>582</v>
      </c>
      <c r="B239" s="1" t="s">
        <v>590</v>
      </c>
      <c r="C239" s="1" t="s">
        <v>12</v>
      </c>
      <c r="D239" s="1" t="s">
        <v>37</v>
      </c>
      <c r="E239" s="1">
        <v>2022</v>
      </c>
      <c r="F239" s="1" t="s">
        <v>14</v>
      </c>
      <c r="G239" s="1" t="s">
        <v>549</v>
      </c>
      <c r="H239" s="1" t="s">
        <v>16</v>
      </c>
      <c r="I239">
        <v>47</v>
      </c>
      <c r="J239">
        <v>20</v>
      </c>
      <c r="K239">
        <f t="shared" si="3"/>
        <v>25.4</v>
      </c>
    </row>
    <row r="240" spans="1:11" hidden="1">
      <c r="A240" t="s">
        <v>593</v>
      </c>
      <c r="B240" s="1" t="s">
        <v>590</v>
      </c>
      <c r="C240" s="1" t="s">
        <v>12</v>
      </c>
      <c r="D240" s="1" t="s">
        <v>37</v>
      </c>
      <c r="E240" s="1">
        <v>2021</v>
      </c>
      <c r="F240" s="1" t="s">
        <v>14</v>
      </c>
      <c r="G240" s="1" t="s">
        <v>549</v>
      </c>
      <c r="H240" s="1" t="s">
        <v>16</v>
      </c>
      <c r="I240">
        <v>24</v>
      </c>
      <c r="J240">
        <v>8</v>
      </c>
      <c r="K240">
        <f t="shared" si="3"/>
        <v>11.200000000000001</v>
      </c>
    </row>
    <row r="241" spans="1:11" hidden="1">
      <c r="A241" t="s">
        <v>594</v>
      </c>
      <c r="B241" s="1" t="s">
        <v>590</v>
      </c>
      <c r="C241" s="1" t="s">
        <v>12</v>
      </c>
      <c r="D241" s="1" t="s">
        <v>37</v>
      </c>
      <c r="E241" s="1">
        <v>2022</v>
      </c>
      <c r="F241" s="1" t="s">
        <v>14</v>
      </c>
      <c r="G241" s="1" t="s">
        <v>549</v>
      </c>
      <c r="H241" s="1" t="s">
        <v>16</v>
      </c>
      <c r="I241">
        <v>34</v>
      </c>
      <c r="J241">
        <v>8</v>
      </c>
      <c r="K241">
        <f t="shared" si="3"/>
        <v>13.200000000000001</v>
      </c>
    </row>
    <row r="242" spans="1:11" hidden="1">
      <c r="A242" t="s">
        <v>595</v>
      </c>
      <c r="B242" s="1" t="s">
        <v>597</v>
      </c>
      <c r="C242" s="1" t="s">
        <v>25</v>
      </c>
      <c r="D242" s="1" t="s">
        <v>37</v>
      </c>
      <c r="E242" s="1">
        <v>2015</v>
      </c>
      <c r="F242" s="1" t="s">
        <v>14</v>
      </c>
      <c r="G242" s="1" t="s">
        <v>598</v>
      </c>
      <c r="H242" s="1" t="s">
        <v>16</v>
      </c>
      <c r="I242">
        <v>39</v>
      </c>
      <c r="J242">
        <v>12</v>
      </c>
      <c r="K242">
        <f t="shared" si="3"/>
        <v>17.400000000000002</v>
      </c>
    </row>
    <row r="243" spans="1:11" hidden="1">
      <c r="A243" t="s">
        <v>599</v>
      </c>
      <c r="B243" s="1" t="s">
        <v>600</v>
      </c>
      <c r="C243" s="1" t="s">
        <v>25</v>
      </c>
      <c r="D243" s="1" t="s">
        <v>64</v>
      </c>
      <c r="E243" s="1">
        <v>2017</v>
      </c>
      <c r="F243" s="1" t="s">
        <v>14</v>
      </c>
      <c r="G243" s="1" t="s">
        <v>549</v>
      </c>
      <c r="H243" s="1" t="s">
        <v>16</v>
      </c>
      <c r="I243">
        <v>49</v>
      </c>
      <c r="J243">
        <v>12</v>
      </c>
      <c r="K243">
        <f t="shared" si="3"/>
        <v>19.400000000000002</v>
      </c>
    </row>
    <row r="244" spans="1:11" hidden="1">
      <c r="A244" t="s">
        <v>601</v>
      </c>
      <c r="B244" s="1" t="s">
        <v>602</v>
      </c>
      <c r="C244" s="1" t="s">
        <v>12</v>
      </c>
      <c r="D244" s="1" t="s">
        <v>37</v>
      </c>
      <c r="E244" s="1">
        <v>2022</v>
      </c>
      <c r="F244" s="1" t="s">
        <v>14</v>
      </c>
      <c r="G244" s="1" t="s">
        <v>549</v>
      </c>
      <c r="H244" s="1" t="s">
        <v>16</v>
      </c>
      <c r="I244">
        <v>93</v>
      </c>
      <c r="J244">
        <v>5</v>
      </c>
      <c r="K244">
        <f t="shared" si="3"/>
        <v>22.6</v>
      </c>
    </row>
    <row r="245" spans="1:11" hidden="1">
      <c r="A245" t="s">
        <v>601</v>
      </c>
      <c r="B245" s="1" t="s">
        <v>603</v>
      </c>
      <c r="C245" s="1" t="s">
        <v>12</v>
      </c>
      <c r="D245" s="1" t="s">
        <v>37</v>
      </c>
      <c r="E245" s="1">
        <v>2022</v>
      </c>
      <c r="F245" s="1" t="s">
        <v>14</v>
      </c>
      <c r="G245" s="1" t="s">
        <v>563</v>
      </c>
      <c r="H245" s="1" t="s">
        <v>16</v>
      </c>
      <c r="I245">
        <v>53</v>
      </c>
      <c r="J245">
        <v>7</v>
      </c>
      <c r="K245">
        <f t="shared" si="3"/>
        <v>16.200000000000003</v>
      </c>
    </row>
    <row r="246" spans="1:11" hidden="1">
      <c r="A246" t="s">
        <v>606</v>
      </c>
      <c r="B246" s="1" t="s">
        <v>607</v>
      </c>
      <c r="C246" s="1" t="s">
        <v>25</v>
      </c>
      <c r="D246" s="1" t="s">
        <v>64</v>
      </c>
      <c r="E246" s="1">
        <v>2022</v>
      </c>
      <c r="F246" s="1" t="s">
        <v>14</v>
      </c>
      <c r="G246" s="1" t="s">
        <v>563</v>
      </c>
      <c r="H246" s="1" t="s">
        <v>16</v>
      </c>
      <c r="I246">
        <v>85</v>
      </c>
      <c r="J246">
        <v>1</v>
      </c>
      <c r="K246">
        <f t="shared" si="3"/>
        <v>17.8</v>
      </c>
    </row>
    <row r="247" spans="1:11" hidden="1">
      <c r="A247" t="s">
        <v>608</v>
      </c>
      <c r="B247" s="1" t="s">
        <v>609</v>
      </c>
      <c r="C247" s="1" t="s">
        <v>12</v>
      </c>
      <c r="D247" s="1" t="s">
        <v>37</v>
      </c>
      <c r="E247" s="1">
        <v>2022</v>
      </c>
      <c r="F247" s="1" t="s">
        <v>14</v>
      </c>
      <c r="G247" s="1" t="s">
        <v>563</v>
      </c>
      <c r="H247" s="1" t="s">
        <v>16</v>
      </c>
      <c r="I247">
        <v>57</v>
      </c>
      <c r="J247">
        <v>16</v>
      </c>
      <c r="K247">
        <f t="shared" si="3"/>
        <v>24.200000000000003</v>
      </c>
    </row>
    <row r="248" spans="1:11" hidden="1">
      <c r="A248" t="s">
        <v>613</v>
      </c>
      <c r="B248" s="1" t="s">
        <v>614</v>
      </c>
      <c r="C248" s="1" t="s">
        <v>25</v>
      </c>
      <c r="D248" s="1" t="s">
        <v>37</v>
      </c>
      <c r="E248" s="1">
        <v>2021</v>
      </c>
      <c r="F248" s="1" t="s">
        <v>14</v>
      </c>
      <c r="G248" s="1" t="s">
        <v>612</v>
      </c>
      <c r="H248" s="1" t="s">
        <v>16</v>
      </c>
      <c r="I248">
        <v>27</v>
      </c>
      <c r="J248">
        <v>9</v>
      </c>
      <c r="K248">
        <f t="shared" si="3"/>
        <v>12.600000000000001</v>
      </c>
    </row>
    <row r="249" spans="1:11" hidden="1">
      <c r="A249" t="s">
        <v>615</v>
      </c>
      <c r="B249" s="1" t="s">
        <v>616</v>
      </c>
      <c r="C249" s="1" t="s">
        <v>12</v>
      </c>
      <c r="D249" s="1" t="s">
        <v>37</v>
      </c>
      <c r="E249" s="1">
        <v>2019</v>
      </c>
      <c r="F249" s="1" t="s">
        <v>14</v>
      </c>
      <c r="G249" s="2" t="s">
        <v>617</v>
      </c>
      <c r="H249" s="1" t="s">
        <v>16</v>
      </c>
      <c r="I249">
        <v>36</v>
      </c>
      <c r="J249">
        <v>20</v>
      </c>
      <c r="K249">
        <f t="shared" si="3"/>
        <v>23.2</v>
      </c>
    </row>
    <row r="250" spans="1:11" hidden="1">
      <c r="A250" t="s">
        <v>615</v>
      </c>
      <c r="B250" s="1" t="s">
        <v>619</v>
      </c>
      <c r="C250" s="1" t="s">
        <v>25</v>
      </c>
      <c r="D250" s="1" t="s">
        <v>37</v>
      </c>
      <c r="E250" s="1">
        <v>2017</v>
      </c>
      <c r="F250" s="1" t="s">
        <v>14</v>
      </c>
      <c r="G250" s="2" t="s">
        <v>617</v>
      </c>
      <c r="H250" s="1" t="s">
        <v>16</v>
      </c>
      <c r="I250">
        <v>63</v>
      </c>
      <c r="J250">
        <v>7</v>
      </c>
      <c r="K250">
        <f t="shared" si="3"/>
        <v>18.200000000000003</v>
      </c>
    </row>
    <row r="251" spans="1:11" hidden="1">
      <c r="A251" t="s">
        <v>618</v>
      </c>
      <c r="B251" s="1" t="s">
        <v>620</v>
      </c>
      <c r="C251" s="1" t="s">
        <v>25</v>
      </c>
      <c r="D251" s="1" t="s">
        <v>37</v>
      </c>
      <c r="E251" s="1">
        <v>2015</v>
      </c>
      <c r="F251" s="1" t="s">
        <v>14</v>
      </c>
      <c r="G251" s="1" t="s">
        <v>621</v>
      </c>
      <c r="H251" s="1" t="s">
        <v>16</v>
      </c>
      <c r="I251">
        <v>64</v>
      </c>
      <c r="J251">
        <v>16</v>
      </c>
      <c r="K251">
        <f t="shared" si="3"/>
        <v>25.6</v>
      </c>
    </row>
    <row r="252" spans="1:11" hidden="1">
      <c r="A252" t="s">
        <v>623</v>
      </c>
      <c r="B252" s="1" t="s">
        <v>620</v>
      </c>
      <c r="C252" s="1" t="s">
        <v>25</v>
      </c>
      <c r="D252" s="1" t="s">
        <v>37</v>
      </c>
      <c r="E252" s="1">
        <v>2021</v>
      </c>
      <c r="F252" s="1" t="s">
        <v>14</v>
      </c>
      <c r="G252" s="1" t="s">
        <v>617</v>
      </c>
      <c r="H252" s="1" t="s">
        <v>16</v>
      </c>
      <c r="I252">
        <v>46</v>
      </c>
      <c r="J252">
        <v>8</v>
      </c>
      <c r="K252">
        <f t="shared" si="3"/>
        <v>15.600000000000001</v>
      </c>
    </row>
    <row r="253" spans="1:11" hidden="1">
      <c r="A253" t="s">
        <v>624</v>
      </c>
      <c r="B253" s="1" t="s">
        <v>620</v>
      </c>
      <c r="C253" s="1" t="s">
        <v>25</v>
      </c>
      <c r="D253" s="1" t="s">
        <v>37</v>
      </c>
      <c r="E253" s="1">
        <v>2020</v>
      </c>
      <c r="F253" s="1" t="s">
        <v>14</v>
      </c>
      <c r="G253" s="1" t="s">
        <v>621</v>
      </c>
      <c r="H253" s="1" t="s">
        <v>16</v>
      </c>
      <c r="I253">
        <v>51</v>
      </c>
      <c r="J253">
        <v>5</v>
      </c>
      <c r="K253">
        <f t="shared" si="3"/>
        <v>14.200000000000001</v>
      </c>
    </row>
    <row r="254" spans="1:11">
      <c r="A254" t="s">
        <v>627</v>
      </c>
      <c r="B254" s="1" t="s">
        <v>628</v>
      </c>
      <c r="C254" s="1" t="s">
        <v>12</v>
      </c>
      <c r="D254" s="1" t="s">
        <v>30</v>
      </c>
      <c r="E254" s="1">
        <v>2022</v>
      </c>
      <c r="F254" s="1" t="s">
        <v>14</v>
      </c>
      <c r="G254" s="1" t="s">
        <v>621</v>
      </c>
      <c r="H254" s="1" t="s">
        <v>16</v>
      </c>
      <c r="I254">
        <v>96</v>
      </c>
      <c r="J254">
        <v>17</v>
      </c>
      <c r="K254">
        <f t="shared" si="3"/>
        <v>32.800000000000004</v>
      </c>
    </row>
    <row r="255" spans="1:11" hidden="1">
      <c r="A255" t="s">
        <v>629</v>
      </c>
      <c r="B255" s="1" t="s">
        <v>630</v>
      </c>
      <c r="C255" s="1" t="s">
        <v>12</v>
      </c>
      <c r="D255" s="1" t="s">
        <v>30</v>
      </c>
      <c r="E255" s="1">
        <v>2022</v>
      </c>
      <c r="F255" s="1" t="s">
        <v>14</v>
      </c>
      <c r="G255" s="1" t="s">
        <v>617</v>
      </c>
      <c r="H255" s="1" t="s">
        <v>16</v>
      </c>
      <c r="I255">
        <v>56</v>
      </c>
      <c r="J255">
        <v>18</v>
      </c>
      <c r="K255">
        <f t="shared" si="3"/>
        <v>25.6</v>
      </c>
    </row>
    <row r="256" spans="1:11" hidden="1">
      <c r="A256" t="s">
        <v>631</v>
      </c>
      <c r="B256" s="1" t="s">
        <v>633</v>
      </c>
      <c r="C256" s="1" t="s">
        <v>25</v>
      </c>
      <c r="D256" s="1" t="s">
        <v>26</v>
      </c>
      <c r="E256" s="1">
        <v>2021</v>
      </c>
      <c r="F256" s="1" t="s">
        <v>14</v>
      </c>
      <c r="G256" s="1" t="s">
        <v>634</v>
      </c>
      <c r="H256" s="1" t="s">
        <v>16</v>
      </c>
      <c r="I256">
        <v>27</v>
      </c>
      <c r="J256">
        <v>1</v>
      </c>
      <c r="K256">
        <f t="shared" si="3"/>
        <v>6.2</v>
      </c>
    </row>
    <row r="257" spans="1:11" hidden="1">
      <c r="A257" t="s">
        <v>635</v>
      </c>
      <c r="B257" s="1" t="s">
        <v>636</v>
      </c>
      <c r="C257" s="1" t="s">
        <v>25</v>
      </c>
      <c r="D257" s="1" t="s">
        <v>30</v>
      </c>
      <c r="E257" s="1">
        <v>2018</v>
      </c>
      <c r="F257" s="1" t="s">
        <v>14</v>
      </c>
      <c r="G257" s="1" t="s">
        <v>637</v>
      </c>
      <c r="H257" s="1" t="s">
        <v>16</v>
      </c>
      <c r="I257">
        <v>64</v>
      </c>
      <c r="J257">
        <v>11</v>
      </c>
      <c r="K257">
        <f t="shared" si="3"/>
        <v>21.6</v>
      </c>
    </row>
    <row r="258" spans="1:11" hidden="1">
      <c r="A258" t="s">
        <v>641</v>
      </c>
      <c r="B258" s="1" t="s">
        <v>639</v>
      </c>
      <c r="C258" s="1" t="s">
        <v>25</v>
      </c>
      <c r="D258" s="1" t="s">
        <v>37</v>
      </c>
      <c r="E258" s="1">
        <v>2019</v>
      </c>
      <c r="F258" s="1" t="s">
        <v>14</v>
      </c>
      <c r="G258" s="1" t="s">
        <v>642</v>
      </c>
      <c r="H258" s="1" t="s">
        <v>16</v>
      </c>
      <c r="I258">
        <v>88</v>
      </c>
      <c r="J258">
        <v>1</v>
      </c>
      <c r="K258">
        <f t="shared" si="3"/>
        <v>18.400000000000002</v>
      </c>
    </row>
    <row r="259" spans="1:11" hidden="1">
      <c r="A259" t="s">
        <v>643</v>
      </c>
      <c r="B259" s="1" t="s">
        <v>644</v>
      </c>
      <c r="C259" s="1" t="s">
        <v>25</v>
      </c>
      <c r="D259" s="1" t="s">
        <v>37</v>
      </c>
      <c r="E259" s="1">
        <v>2015</v>
      </c>
      <c r="F259" s="1" t="s">
        <v>14</v>
      </c>
      <c r="G259" s="1" t="s">
        <v>645</v>
      </c>
      <c r="H259" s="1" t="s">
        <v>16</v>
      </c>
      <c r="I259">
        <v>92</v>
      </c>
      <c r="J259">
        <v>3</v>
      </c>
      <c r="K259">
        <f t="shared" ref="K259:K276" si="4">I259*20%+J259*80%</f>
        <v>20.800000000000004</v>
      </c>
    </row>
    <row r="260" spans="1:11" hidden="1">
      <c r="A260" t="s">
        <v>649</v>
      </c>
      <c r="B260" s="1" t="s">
        <v>650</v>
      </c>
      <c r="C260" s="1" t="s">
        <v>25</v>
      </c>
      <c r="D260" s="1" t="s">
        <v>37</v>
      </c>
      <c r="E260" s="1">
        <v>2020</v>
      </c>
      <c r="F260" s="1" t="s">
        <v>14</v>
      </c>
      <c r="G260" s="1" t="s">
        <v>651</v>
      </c>
      <c r="H260" s="1" t="s">
        <v>16</v>
      </c>
      <c r="I260">
        <v>20</v>
      </c>
      <c r="J260">
        <v>13</v>
      </c>
      <c r="K260">
        <f t="shared" si="4"/>
        <v>14.4</v>
      </c>
    </row>
    <row r="261" spans="1:11" hidden="1">
      <c r="A261" t="s">
        <v>652</v>
      </c>
      <c r="B261" s="1" t="s">
        <v>653</v>
      </c>
      <c r="C261" s="1" t="s">
        <v>12</v>
      </c>
      <c r="D261" s="1" t="s">
        <v>30</v>
      </c>
      <c r="E261" s="1">
        <v>2021</v>
      </c>
      <c r="F261" s="1" t="s">
        <v>14</v>
      </c>
      <c r="G261" s="1" t="s">
        <v>654</v>
      </c>
      <c r="H261" s="1" t="s">
        <v>16</v>
      </c>
      <c r="I261">
        <v>21</v>
      </c>
      <c r="J261">
        <v>7</v>
      </c>
      <c r="K261">
        <f t="shared" si="4"/>
        <v>9.8000000000000007</v>
      </c>
    </row>
    <row r="262" spans="1:11">
      <c r="A262" t="s">
        <v>658</v>
      </c>
      <c r="B262" s="1" t="s">
        <v>656</v>
      </c>
      <c r="C262" s="1" t="s">
        <v>25</v>
      </c>
      <c r="D262" s="1" t="s">
        <v>26</v>
      </c>
      <c r="E262" s="1">
        <v>2019</v>
      </c>
      <c r="F262" s="1" t="s">
        <v>14</v>
      </c>
      <c r="G262" s="1" t="s">
        <v>659</v>
      </c>
      <c r="H262" s="1" t="s">
        <v>16</v>
      </c>
      <c r="I262">
        <v>78</v>
      </c>
      <c r="J262">
        <v>17</v>
      </c>
      <c r="K262">
        <f t="shared" si="4"/>
        <v>29.200000000000003</v>
      </c>
    </row>
    <row r="263" spans="1:11" hidden="1">
      <c r="A263" t="s">
        <v>660</v>
      </c>
      <c r="B263" s="1" t="s">
        <v>661</v>
      </c>
      <c r="C263" s="1" t="s">
        <v>12</v>
      </c>
      <c r="D263" s="1" t="s">
        <v>37</v>
      </c>
      <c r="E263" s="1">
        <v>2016</v>
      </c>
      <c r="F263" s="1" t="s">
        <v>14</v>
      </c>
      <c r="G263" s="1" t="s">
        <v>662</v>
      </c>
      <c r="H263" s="1" t="s">
        <v>16</v>
      </c>
      <c r="I263">
        <v>72</v>
      </c>
      <c r="J263">
        <v>17</v>
      </c>
      <c r="K263">
        <f t="shared" si="4"/>
        <v>28</v>
      </c>
    </row>
    <row r="264" spans="1:11" hidden="1">
      <c r="A264" t="s">
        <v>665</v>
      </c>
      <c r="B264" s="1" t="s">
        <v>666</v>
      </c>
      <c r="C264" s="1" t="s">
        <v>12</v>
      </c>
      <c r="D264" s="1" t="s">
        <v>37</v>
      </c>
      <c r="E264" s="1">
        <v>2015</v>
      </c>
      <c r="F264" s="1" t="s">
        <v>14</v>
      </c>
      <c r="G264" s="1" t="s">
        <v>667</v>
      </c>
      <c r="H264" s="1" t="s">
        <v>16</v>
      </c>
      <c r="I264">
        <v>78</v>
      </c>
      <c r="J264">
        <v>3</v>
      </c>
      <c r="K264">
        <f t="shared" si="4"/>
        <v>18</v>
      </c>
    </row>
    <row r="265" spans="1:11" hidden="1">
      <c r="A265" t="s">
        <v>668</v>
      </c>
      <c r="B265" s="1" t="s">
        <v>666</v>
      </c>
      <c r="C265" s="1" t="s">
        <v>12</v>
      </c>
      <c r="D265" s="1" t="s">
        <v>26</v>
      </c>
      <c r="E265" s="1">
        <v>2021</v>
      </c>
      <c r="F265" s="1" t="s">
        <v>14</v>
      </c>
      <c r="G265" s="1" t="s">
        <v>669</v>
      </c>
      <c r="H265" s="1" t="s">
        <v>16</v>
      </c>
      <c r="I265">
        <v>49</v>
      </c>
      <c r="J265">
        <v>19</v>
      </c>
      <c r="K265">
        <f t="shared" si="4"/>
        <v>25</v>
      </c>
    </row>
    <row r="266" spans="1:11" hidden="1">
      <c r="A266" t="s">
        <v>672</v>
      </c>
      <c r="B266" s="1" t="s">
        <v>673</v>
      </c>
      <c r="C266" s="1" t="s">
        <v>12</v>
      </c>
      <c r="D266" s="1" t="s">
        <v>37</v>
      </c>
      <c r="E266" s="1">
        <v>2020</v>
      </c>
      <c r="F266" s="1" t="s">
        <v>14</v>
      </c>
      <c r="G266" s="1" t="s">
        <v>674</v>
      </c>
      <c r="H266" s="1" t="s">
        <v>16</v>
      </c>
      <c r="I266">
        <v>33</v>
      </c>
      <c r="J266">
        <v>1</v>
      </c>
      <c r="K266">
        <f t="shared" si="4"/>
        <v>7.4</v>
      </c>
    </row>
    <row r="267" spans="1:11" hidden="1">
      <c r="A267" t="s">
        <v>672</v>
      </c>
      <c r="B267" s="1" t="s">
        <v>673</v>
      </c>
      <c r="C267" s="1" t="s">
        <v>12</v>
      </c>
      <c r="D267" s="1" t="s">
        <v>37</v>
      </c>
      <c r="E267" s="1">
        <v>2016</v>
      </c>
      <c r="F267" s="1" t="s">
        <v>14</v>
      </c>
      <c r="G267" s="1" t="s">
        <v>675</v>
      </c>
      <c r="H267" s="1" t="s">
        <v>16</v>
      </c>
      <c r="I267">
        <v>85</v>
      </c>
      <c r="J267">
        <v>13</v>
      </c>
      <c r="K267">
        <f t="shared" si="4"/>
        <v>27.4</v>
      </c>
    </row>
    <row r="268" spans="1:11" hidden="1">
      <c r="A268" t="s">
        <v>672</v>
      </c>
      <c r="B268" s="1" t="s">
        <v>678</v>
      </c>
      <c r="C268" s="1" t="s">
        <v>25</v>
      </c>
      <c r="D268" s="1" t="s">
        <v>37</v>
      </c>
      <c r="E268" s="1">
        <v>2021</v>
      </c>
      <c r="F268" s="1" t="s">
        <v>14</v>
      </c>
      <c r="G268" s="1" t="s">
        <v>679</v>
      </c>
      <c r="H268" s="1" t="s">
        <v>16</v>
      </c>
      <c r="I268">
        <v>97</v>
      </c>
      <c r="J268">
        <v>7</v>
      </c>
      <c r="K268">
        <f t="shared" si="4"/>
        <v>25.000000000000004</v>
      </c>
    </row>
    <row r="269" spans="1:11" hidden="1">
      <c r="A269" t="s">
        <v>680</v>
      </c>
      <c r="B269" s="1" t="s">
        <v>681</v>
      </c>
      <c r="C269" s="1" t="s">
        <v>25</v>
      </c>
      <c r="D269" s="1" t="s">
        <v>37</v>
      </c>
      <c r="E269" s="1">
        <v>2016</v>
      </c>
      <c r="F269" s="1" t="s">
        <v>14</v>
      </c>
      <c r="G269" s="1" t="s">
        <v>682</v>
      </c>
      <c r="H269" s="1" t="s">
        <v>16</v>
      </c>
      <c r="I269">
        <v>23</v>
      </c>
      <c r="J269">
        <v>11</v>
      </c>
      <c r="K269">
        <f t="shared" si="4"/>
        <v>13.400000000000002</v>
      </c>
    </row>
    <row r="270" spans="1:11" hidden="1">
      <c r="A270" t="s">
        <v>685</v>
      </c>
      <c r="B270" s="1" t="s">
        <v>683</v>
      </c>
      <c r="C270" s="1" t="s">
        <v>12</v>
      </c>
      <c r="D270" s="1" t="s">
        <v>37</v>
      </c>
      <c r="E270" s="1">
        <v>2020</v>
      </c>
      <c r="F270" s="1" t="s">
        <v>14</v>
      </c>
      <c r="G270" s="1" t="s">
        <v>686</v>
      </c>
      <c r="H270" s="1" t="s">
        <v>16</v>
      </c>
      <c r="I270">
        <v>42</v>
      </c>
      <c r="J270">
        <v>10</v>
      </c>
      <c r="K270">
        <f t="shared" si="4"/>
        <v>16.399999999999999</v>
      </c>
    </row>
    <row r="271" spans="1:11">
      <c r="A271" t="s">
        <v>687</v>
      </c>
      <c r="B271" s="1" t="s">
        <v>688</v>
      </c>
      <c r="C271" s="1" t="s">
        <v>12</v>
      </c>
      <c r="D271" s="1" t="s">
        <v>37</v>
      </c>
      <c r="E271" s="1">
        <v>2022</v>
      </c>
      <c r="F271" s="1" t="s">
        <v>14</v>
      </c>
      <c r="G271" s="1" t="s">
        <v>689</v>
      </c>
      <c r="H271" s="1" t="s">
        <v>16</v>
      </c>
      <c r="I271">
        <v>68</v>
      </c>
      <c r="J271">
        <v>19</v>
      </c>
      <c r="K271">
        <f t="shared" si="4"/>
        <v>28.800000000000004</v>
      </c>
    </row>
    <row r="272" spans="1:11" hidden="1">
      <c r="A272" t="s">
        <v>693</v>
      </c>
      <c r="B272" s="1" t="s">
        <v>694</v>
      </c>
      <c r="C272" s="1" t="s">
        <v>25</v>
      </c>
      <c r="D272" s="1" t="s">
        <v>37</v>
      </c>
      <c r="E272" s="1">
        <v>2020</v>
      </c>
      <c r="F272" s="1" t="s">
        <v>14</v>
      </c>
      <c r="G272" s="1" t="s">
        <v>695</v>
      </c>
      <c r="H272" s="1" t="s">
        <v>16</v>
      </c>
      <c r="I272">
        <v>28</v>
      </c>
      <c r="J272">
        <v>5</v>
      </c>
      <c r="K272">
        <f t="shared" si="4"/>
        <v>9.6000000000000014</v>
      </c>
    </row>
    <row r="273" spans="1:11" hidden="1">
      <c r="A273" t="s">
        <v>696</v>
      </c>
      <c r="B273" s="1" t="s">
        <v>697</v>
      </c>
      <c r="C273" s="1" t="s">
        <v>12</v>
      </c>
      <c r="D273" s="1" t="s">
        <v>26</v>
      </c>
      <c r="E273" s="1">
        <v>2020</v>
      </c>
      <c r="F273" s="1" t="s">
        <v>14</v>
      </c>
      <c r="G273" s="2" t="s">
        <v>698</v>
      </c>
      <c r="H273" s="1" t="s">
        <v>16</v>
      </c>
      <c r="I273">
        <v>25</v>
      </c>
      <c r="J273">
        <v>18</v>
      </c>
      <c r="K273">
        <f t="shared" si="4"/>
        <v>19.399999999999999</v>
      </c>
    </row>
    <row r="274" spans="1:11" hidden="1">
      <c r="A274" t="s">
        <v>693</v>
      </c>
      <c r="B274" s="1" t="s">
        <v>700</v>
      </c>
      <c r="C274" s="1" t="s">
        <v>12</v>
      </c>
      <c r="D274" s="1" t="s">
        <v>30</v>
      </c>
      <c r="E274" s="1">
        <v>2016</v>
      </c>
      <c r="F274" s="1" t="s">
        <v>14</v>
      </c>
      <c r="G274" s="1" t="s">
        <v>701</v>
      </c>
      <c r="H274" s="1" t="s">
        <v>16</v>
      </c>
      <c r="I274">
        <v>33</v>
      </c>
      <c r="J274">
        <v>8</v>
      </c>
      <c r="K274">
        <f t="shared" si="4"/>
        <v>13</v>
      </c>
    </row>
    <row r="275" spans="1:11">
      <c r="A275" t="s">
        <v>693</v>
      </c>
      <c r="B275" s="1" t="s">
        <v>702</v>
      </c>
      <c r="C275" s="1" t="s">
        <v>25</v>
      </c>
      <c r="D275" s="1" t="s">
        <v>37</v>
      </c>
      <c r="E275" s="1">
        <v>2018</v>
      </c>
      <c r="F275" s="1" t="s">
        <v>14</v>
      </c>
      <c r="G275" s="1" t="s">
        <v>703</v>
      </c>
      <c r="H275" s="1" t="s">
        <v>16</v>
      </c>
      <c r="I275">
        <v>76</v>
      </c>
      <c r="J275">
        <v>17</v>
      </c>
      <c r="K275">
        <f t="shared" si="4"/>
        <v>28.800000000000004</v>
      </c>
    </row>
    <row r="276" spans="1:11" hidden="1">
      <c r="A276" t="s">
        <v>693</v>
      </c>
      <c r="B276" s="1" t="s">
        <v>704</v>
      </c>
      <c r="C276" s="1" t="s">
        <v>25</v>
      </c>
      <c r="D276" s="1" t="s">
        <v>37</v>
      </c>
      <c r="E276" s="1">
        <v>2021</v>
      </c>
      <c r="F276" s="1" t="s">
        <v>14</v>
      </c>
      <c r="G276" s="1" t="s">
        <v>706</v>
      </c>
      <c r="H276" s="1" t="s">
        <v>16</v>
      </c>
      <c r="I276">
        <v>53</v>
      </c>
      <c r="J276">
        <v>1</v>
      </c>
      <c r="K276">
        <f t="shared" si="4"/>
        <v>11.400000000000002</v>
      </c>
    </row>
  </sheetData>
  <autoFilter ref="A1:K276" xr:uid="{34C86C01-7757-49BE-BE50-06BFEAE26519}">
    <filterColumn colId="10">
      <top10 val="40" filterVal="28.400000000000002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F65C-21B7-427F-87B2-D236B05487BB}">
  <dimension ref="A1:D42"/>
  <sheetViews>
    <sheetView tabSelected="1" workbookViewId="0">
      <selection activeCell="F8" sqref="F8"/>
    </sheetView>
  </sheetViews>
  <sheetFormatPr defaultRowHeight="12.75"/>
  <cols>
    <col min="4" max="4" width="14.7109375" bestFit="1" customWidth="1"/>
  </cols>
  <sheetData>
    <row r="1" spans="1:4">
      <c r="A1" s="4" t="s">
        <v>0</v>
      </c>
      <c r="B1" s="4" t="s">
        <v>8</v>
      </c>
      <c r="C1" s="4" t="s">
        <v>9</v>
      </c>
      <c r="D1" s="6" t="s">
        <v>727</v>
      </c>
    </row>
    <row r="2" spans="1:4">
      <c r="A2" t="s">
        <v>552</v>
      </c>
      <c r="B2">
        <v>100</v>
      </c>
      <c r="C2">
        <v>20</v>
      </c>
      <c r="D2">
        <f>B2*20%+C2*80%</f>
        <v>36</v>
      </c>
    </row>
    <row r="3" spans="1:4">
      <c r="A3" t="s">
        <v>537</v>
      </c>
      <c r="B3">
        <v>94</v>
      </c>
      <c r="C3">
        <v>20</v>
      </c>
      <c r="D3">
        <f>B3*20%+C3*80%</f>
        <v>34.799999999999997</v>
      </c>
    </row>
    <row r="4" spans="1:4">
      <c r="A4" t="s">
        <v>88</v>
      </c>
      <c r="B4">
        <v>96</v>
      </c>
      <c r="C4">
        <v>19</v>
      </c>
      <c r="D4">
        <f>B4*20%+C4*80%</f>
        <v>34.400000000000006</v>
      </c>
    </row>
    <row r="5" spans="1:4">
      <c r="A5" t="s">
        <v>510</v>
      </c>
      <c r="B5">
        <v>96</v>
      </c>
      <c r="C5">
        <v>19</v>
      </c>
      <c r="D5">
        <f>B5*20%+C5*80%</f>
        <v>34.400000000000006</v>
      </c>
    </row>
    <row r="6" spans="1:4">
      <c r="A6" t="s">
        <v>354</v>
      </c>
      <c r="B6">
        <v>95</v>
      </c>
      <c r="C6">
        <v>19</v>
      </c>
      <c r="D6">
        <f>B6*20%+C6*80%</f>
        <v>34.200000000000003</v>
      </c>
    </row>
    <row r="7" spans="1:4">
      <c r="A7" t="s">
        <v>187</v>
      </c>
      <c r="B7">
        <v>98</v>
      </c>
      <c r="C7">
        <v>18</v>
      </c>
      <c r="D7">
        <f>B7*20%+C7*80%</f>
        <v>34</v>
      </c>
    </row>
    <row r="8" spans="1:4">
      <c r="A8" t="s">
        <v>460</v>
      </c>
      <c r="B8">
        <v>95</v>
      </c>
      <c r="C8">
        <v>18</v>
      </c>
      <c r="D8">
        <f>B8*20%+C8*80%</f>
        <v>33.4</v>
      </c>
    </row>
    <row r="9" spans="1:4">
      <c r="A9" t="s">
        <v>262</v>
      </c>
      <c r="B9">
        <v>94</v>
      </c>
      <c r="C9">
        <v>18</v>
      </c>
      <c r="D9">
        <f>B9*20%+C9*80%</f>
        <v>33.200000000000003</v>
      </c>
    </row>
    <row r="10" spans="1:4">
      <c r="A10" t="s">
        <v>383</v>
      </c>
      <c r="B10">
        <v>89</v>
      </c>
      <c r="C10">
        <v>19</v>
      </c>
      <c r="D10">
        <f>B10*20%+C10*80%</f>
        <v>33</v>
      </c>
    </row>
    <row r="11" spans="1:4">
      <c r="A11" t="s">
        <v>627</v>
      </c>
      <c r="B11">
        <v>96</v>
      </c>
      <c r="C11">
        <v>17</v>
      </c>
      <c r="D11">
        <f>B11*20%+C11*80%</f>
        <v>32.800000000000004</v>
      </c>
    </row>
    <row r="12" spans="1:4">
      <c r="A12" t="s">
        <v>342</v>
      </c>
      <c r="B12">
        <v>83</v>
      </c>
      <c r="C12">
        <v>20</v>
      </c>
      <c r="D12">
        <f>B12*20%+C12*80%</f>
        <v>32.6</v>
      </c>
    </row>
    <row r="13" spans="1:4">
      <c r="A13" t="s">
        <v>458</v>
      </c>
      <c r="B13">
        <v>87</v>
      </c>
      <c r="C13">
        <v>19</v>
      </c>
      <c r="D13">
        <f>B13*20%+C13*80%</f>
        <v>32.6</v>
      </c>
    </row>
    <row r="14" spans="1:4">
      <c r="A14" t="s">
        <v>92</v>
      </c>
      <c r="B14">
        <v>94</v>
      </c>
      <c r="C14">
        <v>17</v>
      </c>
      <c r="D14">
        <f>B14*20%+C14*80%</f>
        <v>32.400000000000006</v>
      </c>
    </row>
    <row r="15" spans="1:4">
      <c r="A15" t="s">
        <v>355</v>
      </c>
      <c r="B15">
        <v>85</v>
      </c>
      <c r="C15">
        <v>19</v>
      </c>
      <c r="D15">
        <f>B15*20%+C15*80%</f>
        <v>32.200000000000003</v>
      </c>
    </row>
    <row r="16" spans="1:4">
      <c r="A16" t="s">
        <v>421</v>
      </c>
      <c r="B16">
        <v>81</v>
      </c>
      <c r="C16">
        <v>20</v>
      </c>
      <c r="D16">
        <f>B16*20%+C16*80%</f>
        <v>32.200000000000003</v>
      </c>
    </row>
    <row r="17" spans="1:4">
      <c r="A17" t="s">
        <v>517</v>
      </c>
      <c r="B17">
        <v>80</v>
      </c>
      <c r="C17">
        <v>20</v>
      </c>
      <c r="D17">
        <f>B17*20%+C17*80%</f>
        <v>32</v>
      </c>
    </row>
    <row r="18" spans="1:4">
      <c r="A18" t="s">
        <v>470</v>
      </c>
      <c r="B18">
        <v>99</v>
      </c>
      <c r="C18">
        <v>15</v>
      </c>
      <c r="D18">
        <f>B18*20%+C18*80%</f>
        <v>31.8</v>
      </c>
    </row>
    <row r="19" spans="1:4">
      <c r="A19" t="s">
        <v>386</v>
      </c>
      <c r="B19">
        <v>78</v>
      </c>
      <c r="C19">
        <v>20</v>
      </c>
      <c r="D19">
        <f>B19*20%+C19*80%</f>
        <v>31.6</v>
      </c>
    </row>
    <row r="20" spans="1:4">
      <c r="A20" t="s">
        <v>51</v>
      </c>
      <c r="B20">
        <v>93</v>
      </c>
      <c r="C20">
        <v>16</v>
      </c>
      <c r="D20">
        <f>B20*20%+C20*80%</f>
        <v>31.400000000000002</v>
      </c>
    </row>
    <row r="21" spans="1:4">
      <c r="A21" t="s">
        <v>175</v>
      </c>
      <c r="B21">
        <v>81</v>
      </c>
      <c r="C21">
        <v>19</v>
      </c>
      <c r="D21">
        <f>B21*20%+C21*80%</f>
        <v>31.4</v>
      </c>
    </row>
    <row r="22" spans="1:4">
      <c r="A22" t="s">
        <v>231</v>
      </c>
      <c r="B22">
        <v>99</v>
      </c>
      <c r="C22">
        <v>14</v>
      </c>
      <c r="D22">
        <f>B22*20%+C22*80%</f>
        <v>31</v>
      </c>
    </row>
    <row r="23" spans="1:4">
      <c r="A23" t="s">
        <v>455</v>
      </c>
      <c r="B23">
        <v>95</v>
      </c>
      <c r="C23">
        <v>15</v>
      </c>
      <c r="D23">
        <f>B23*20%+C23*80%</f>
        <v>31</v>
      </c>
    </row>
    <row r="24" spans="1:4">
      <c r="A24" t="s">
        <v>289</v>
      </c>
      <c r="B24">
        <v>96</v>
      </c>
      <c r="C24">
        <v>14</v>
      </c>
      <c r="D24">
        <f>B24*20%+C24*80%</f>
        <v>30.400000000000006</v>
      </c>
    </row>
    <row r="25" spans="1:4">
      <c r="A25" t="s">
        <v>569</v>
      </c>
      <c r="B25">
        <v>92</v>
      </c>
      <c r="C25">
        <v>15</v>
      </c>
      <c r="D25">
        <f>B25*20%+C25*80%</f>
        <v>30.400000000000002</v>
      </c>
    </row>
    <row r="26" spans="1:4">
      <c r="A26" t="s">
        <v>303</v>
      </c>
      <c r="B26">
        <v>72</v>
      </c>
      <c r="C26">
        <v>20</v>
      </c>
      <c r="D26">
        <f>B26*20%+C26*80%</f>
        <v>30.4</v>
      </c>
    </row>
    <row r="27" spans="1:4">
      <c r="A27" t="s">
        <v>277</v>
      </c>
      <c r="B27">
        <v>79</v>
      </c>
      <c r="C27">
        <v>18</v>
      </c>
      <c r="D27">
        <f>B27*20%+C27*80%</f>
        <v>30.200000000000003</v>
      </c>
    </row>
    <row r="28" spans="1:4">
      <c r="A28" t="s">
        <v>558</v>
      </c>
      <c r="B28">
        <v>90</v>
      </c>
      <c r="C28">
        <v>15</v>
      </c>
      <c r="D28">
        <f>B28*20%+C28*80%</f>
        <v>30</v>
      </c>
    </row>
    <row r="29" spans="1:4">
      <c r="A29" t="s">
        <v>295</v>
      </c>
      <c r="B29">
        <v>73</v>
      </c>
      <c r="C29">
        <v>19</v>
      </c>
      <c r="D29">
        <f>B29*20%+C29*80%</f>
        <v>29.800000000000004</v>
      </c>
    </row>
    <row r="30" spans="1:4">
      <c r="A30" t="s">
        <v>49</v>
      </c>
      <c r="B30">
        <v>89</v>
      </c>
      <c r="C30">
        <v>15</v>
      </c>
      <c r="D30">
        <f>B30*20%+C30*80%</f>
        <v>29.8</v>
      </c>
    </row>
    <row r="31" spans="1:4">
      <c r="A31" t="s">
        <v>331</v>
      </c>
      <c r="B31">
        <v>68</v>
      </c>
      <c r="C31">
        <v>20</v>
      </c>
      <c r="D31">
        <f>B31*20%+C31*80%</f>
        <v>29.6</v>
      </c>
    </row>
    <row r="32" spans="1:4">
      <c r="A32" t="s">
        <v>451</v>
      </c>
      <c r="B32">
        <v>92</v>
      </c>
      <c r="C32">
        <v>14</v>
      </c>
      <c r="D32">
        <f>B32*20%+C32*80%</f>
        <v>29.6</v>
      </c>
    </row>
    <row r="33" spans="1:4">
      <c r="A33" t="s">
        <v>67</v>
      </c>
      <c r="B33">
        <v>94</v>
      </c>
      <c r="C33">
        <v>13</v>
      </c>
      <c r="D33">
        <f>B33*20%+C33*80%</f>
        <v>29.200000000000003</v>
      </c>
    </row>
    <row r="34" spans="1:4">
      <c r="A34" t="s">
        <v>432</v>
      </c>
      <c r="B34">
        <v>90</v>
      </c>
      <c r="C34">
        <v>14</v>
      </c>
      <c r="D34">
        <f>B34*20%+C34*80%</f>
        <v>29.200000000000003</v>
      </c>
    </row>
    <row r="35" spans="1:4">
      <c r="A35" t="s">
        <v>658</v>
      </c>
      <c r="B35">
        <v>78</v>
      </c>
      <c r="C35">
        <v>17</v>
      </c>
      <c r="D35">
        <f>B35*20%+C35*80%</f>
        <v>29.200000000000003</v>
      </c>
    </row>
    <row r="36" spans="1:4">
      <c r="A36" t="s">
        <v>265</v>
      </c>
      <c r="B36">
        <v>77</v>
      </c>
      <c r="C36">
        <v>17</v>
      </c>
      <c r="D36">
        <f>B36*20%+C36*80%</f>
        <v>29</v>
      </c>
    </row>
    <row r="37" spans="1:4">
      <c r="A37" t="s">
        <v>310</v>
      </c>
      <c r="B37">
        <v>65</v>
      </c>
      <c r="C37">
        <v>20</v>
      </c>
      <c r="D37">
        <f>B37*20%+C37*80%</f>
        <v>29</v>
      </c>
    </row>
    <row r="38" spans="1:4">
      <c r="A38" t="s">
        <v>687</v>
      </c>
      <c r="B38">
        <v>68</v>
      </c>
      <c r="C38">
        <v>19</v>
      </c>
      <c r="D38">
        <f>B38*20%+C38*80%</f>
        <v>28.800000000000004</v>
      </c>
    </row>
    <row r="39" spans="1:4">
      <c r="A39" t="s">
        <v>693</v>
      </c>
      <c r="B39">
        <v>76</v>
      </c>
      <c r="C39">
        <v>17</v>
      </c>
      <c r="D39">
        <f>B39*20%+C39*80%</f>
        <v>28.800000000000004</v>
      </c>
    </row>
    <row r="40" spans="1:4">
      <c r="A40" t="s">
        <v>339</v>
      </c>
      <c r="B40">
        <v>99</v>
      </c>
      <c r="C40">
        <v>11</v>
      </c>
      <c r="D40">
        <f>B40*20%+C40*80%</f>
        <v>28.6</v>
      </c>
    </row>
    <row r="41" spans="1:4">
      <c r="A41" t="s">
        <v>335</v>
      </c>
      <c r="B41">
        <v>78</v>
      </c>
      <c r="C41">
        <v>16</v>
      </c>
      <c r="D41">
        <f>B41*20%+C41*80%</f>
        <v>28.400000000000002</v>
      </c>
    </row>
    <row r="42" spans="1:4">
      <c r="A42" t="s">
        <v>552</v>
      </c>
      <c r="B42">
        <v>62</v>
      </c>
      <c r="C42">
        <v>20</v>
      </c>
      <c r="D42">
        <f>B42*20%+C42*80%</f>
        <v>28.4</v>
      </c>
    </row>
  </sheetData>
  <autoFilter ref="A1:K42" xr:uid="{B8D4F65C-21B7-427F-87B2-D236B05487BB}">
    <sortState xmlns:xlrd2="http://schemas.microsoft.com/office/spreadsheetml/2017/richdata2" ref="A2:K42">
      <sortCondition descending="1" ref="D1:D4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/>
  </sheetViews>
  <sheetFormatPr defaultRowHeight="12.75"/>
  <sheetData>
    <row r="1" spans="1:5">
      <c r="A1" s="2" t="e" cm="1" vm="1">
        <f t="array" ref="A1">_xlfn.UNIQUE([1]Selection!I2:I207)</f>
        <v>#VALUE!</v>
      </c>
      <c r="B1" s="1" t="s">
        <v>728</v>
      </c>
    </row>
    <row r="2" spans="1:5">
      <c r="A2" s="2" t="str">
        <f ca="1">IFERROR(__xludf.UNSUPPORTED("""COMPUTED_VALUE"""),"EEE")</f>
        <v>EEE</v>
      </c>
      <c r="B2" s="1" t="s">
        <v>729</v>
      </c>
    </row>
    <row r="3" spans="1:5">
      <c r="A3" s="2" t="str">
        <f ca="1">IFERROR(__xludf.UNSUPPORTED("""COMPUTED_VALUE"""),"B.Tech (Non - Computers)")</f>
        <v>B.Tech (Non - Computers)</v>
      </c>
      <c r="B3" s="1" t="s">
        <v>729</v>
      </c>
    </row>
    <row r="4" spans="1:5">
      <c r="A4" s="2" t="str">
        <f ca="1">IFERROR(__xludf.UNSUPPORTED("""COMPUTED_VALUE"""),"B.Com (Computers)")</f>
        <v>B.Com (Computers)</v>
      </c>
      <c r="B4" s="1" t="s">
        <v>730</v>
      </c>
    </row>
    <row r="5" spans="1:5">
      <c r="A5" s="2" t="str">
        <f ca="1">IFERROR(__xludf.UNSUPPORTED("""COMPUTED_VALUE"""),"B.Tech (Computers)")</f>
        <v>B.Tech (Computers)</v>
      </c>
      <c r="B5" s="1" t="s">
        <v>729</v>
      </c>
      <c r="D5" s="2" t="str" cm="1">
        <f t="array" ref="D5:D18">_xlfn.UNIQUE(B1:B28)</f>
        <v>BSc</v>
      </c>
      <c r="E5" s="1">
        <v>30</v>
      </c>
    </row>
    <row r="6" spans="1:5">
      <c r="A6" s="2" t="str">
        <f ca="1">IFERROR(__xludf.UNSUPPORTED("""COMPUTED_VALUE"""),"B Sc Agriculture ")</f>
        <v xml:space="preserve">B Sc Agriculture </v>
      </c>
      <c r="B6" s="1" t="s">
        <v>731</v>
      </c>
      <c r="D6" s="2" t="str">
        <v>BTech</v>
      </c>
      <c r="E6" s="1">
        <v>50</v>
      </c>
    </row>
    <row r="7" spans="1:5">
      <c r="A7" s="2" t="str">
        <f ca="1">IFERROR(__xludf.UNSUPPORTED("""COMPUTED_VALUE"""),"")</f>
        <v/>
      </c>
      <c r="D7" s="2" t="str">
        <v>BCom</v>
      </c>
      <c r="E7" s="1">
        <v>30</v>
      </c>
    </row>
    <row r="8" spans="1:5">
      <c r="A8" s="2" t="str">
        <f ca="1">IFERROR(__xludf.UNSUPPORTED("""COMPUTED_VALUE"""),"MSCS")</f>
        <v>MSCS</v>
      </c>
      <c r="B8" s="1" t="s">
        <v>728</v>
      </c>
      <c r="D8" s="2" t="str">
        <v>BSc(Agri)</v>
      </c>
      <c r="E8" s="1">
        <v>30</v>
      </c>
    </row>
    <row r="9" spans="1:5">
      <c r="A9" s="2" t="str">
        <f ca="1">IFERROR(__xludf.UNSUPPORTED("""COMPUTED_VALUE"""),"B pharmacy ")</f>
        <v xml:space="preserve">B pharmacy </v>
      </c>
      <c r="B9" s="1" t="s">
        <v>732</v>
      </c>
      <c r="D9" s="2">
        <v>0</v>
      </c>
      <c r="E9" s="1">
        <v>0</v>
      </c>
    </row>
    <row r="10" spans="1:5">
      <c r="A10" s="2" t="str">
        <f ca="1">IFERROR(__xludf.UNSUPPORTED("""COMPUTED_VALUE"""),"BSc (Biological Sciences)")</f>
        <v>BSc (Biological Sciences)</v>
      </c>
      <c r="B10" s="1" t="s">
        <v>733</v>
      </c>
      <c r="D10" s="2" t="str">
        <v>BPharmacy</v>
      </c>
      <c r="E10" s="1">
        <v>10</v>
      </c>
    </row>
    <row r="11" spans="1:5">
      <c r="A11" s="2" t="str">
        <f ca="1">IFERROR(__xludf.UNSUPPORTED("""COMPUTED_VALUE"""),"Mccs")</f>
        <v>Mccs</v>
      </c>
      <c r="B11" s="1" t="s">
        <v>728</v>
      </c>
      <c r="D11" s="2" t="str">
        <v>BSc(Biology)</v>
      </c>
      <c r="E11" s="1">
        <v>0</v>
      </c>
    </row>
    <row r="12" spans="1:5">
      <c r="A12" s="2" t="str">
        <f ca="1">IFERROR(__xludf.UNSUPPORTED("""COMPUTED_VALUE"""),"Computer in engineering")</f>
        <v>Computer in engineering</v>
      </c>
      <c r="B12" s="1" t="s">
        <v>729</v>
      </c>
      <c r="D12" s="2" t="str">
        <v>Inter</v>
      </c>
      <c r="E12" s="1">
        <v>0</v>
      </c>
    </row>
    <row r="13" spans="1:5">
      <c r="A13" s="2" t="str">
        <f ca="1">IFERROR(__xludf.UNSUPPORTED("""COMPUTED_VALUE"""),"Civil in diploma")</f>
        <v>Civil in diploma</v>
      </c>
      <c r="B13" s="1" t="s">
        <v>729</v>
      </c>
      <c r="D13" s="2" t="str">
        <v>BA</v>
      </c>
      <c r="E13" s="1">
        <v>0</v>
      </c>
    </row>
    <row r="14" spans="1:5">
      <c r="A14" s="2" t="str">
        <f ca="1">IFERROR(__xludf.UNSUPPORTED("""COMPUTED_VALUE"""),"MPC ")</f>
        <v xml:space="preserve">MPC </v>
      </c>
      <c r="B14" s="1" t="s">
        <v>728</v>
      </c>
      <c r="D14" s="2" t="str">
        <v>LLB</v>
      </c>
      <c r="E14" s="1">
        <v>0</v>
      </c>
    </row>
    <row r="15" spans="1:5">
      <c r="A15" s="2" t="str">
        <f ca="1">IFERROR(__xludf.UNSUPPORTED("""COMPUTED_VALUE"""),"Mechanical ")</f>
        <v xml:space="preserve">Mechanical </v>
      </c>
      <c r="B15" s="1" t="s">
        <v>729</v>
      </c>
      <c r="D15" s="2" t="str">
        <v>Diploma</v>
      </c>
      <c r="E15" s="1">
        <v>0</v>
      </c>
    </row>
    <row r="16" spans="1:5">
      <c r="A16" s="2" t="str">
        <f ca="1">IFERROR(__xludf.UNSUPPORTED("""COMPUTED_VALUE"""),"Electrical Engineering")</f>
        <v>Electrical Engineering</v>
      </c>
      <c r="B16" s="1" t="s">
        <v>729</v>
      </c>
      <c r="D16" s="2" t="str">
        <v>MSc</v>
      </c>
      <c r="E16" s="1">
        <v>30</v>
      </c>
    </row>
    <row r="17" spans="1:5">
      <c r="A17" s="2" t="str">
        <f ca="1">IFERROR(__xludf.UNSUPPORTED("""COMPUTED_VALUE"""),"Intermediate ")</f>
        <v xml:space="preserve">Intermediate </v>
      </c>
      <c r="B17" s="1" t="s">
        <v>734</v>
      </c>
      <c r="D17" s="2" t="str">
        <v>ITI</v>
      </c>
      <c r="E17" s="1">
        <v>0</v>
      </c>
    </row>
    <row r="18" spans="1:5">
      <c r="A18" s="2" t="str">
        <f ca="1">IFERROR(__xludf.UNSUPPORTED("""COMPUTED_VALUE"""),"B.Com (General)")</f>
        <v>B.Com (General)</v>
      </c>
      <c r="B18" s="1" t="s">
        <v>730</v>
      </c>
      <c r="D18" s="2" t="str">
        <v>MA</v>
      </c>
      <c r="E18" s="1">
        <v>10</v>
      </c>
    </row>
    <row r="19" spans="1:5">
      <c r="A19" s="2" t="str">
        <f ca="1">IFERROR(__xludf.UNSUPPORTED("""COMPUTED_VALUE"""),"BA/BBA/BHMS/BAMS/BArch/BE")</f>
        <v>BA/BBA/BHMS/BAMS/BArch/BE</v>
      </c>
      <c r="B19" s="1" t="s">
        <v>735</v>
      </c>
    </row>
    <row r="20" spans="1:5">
      <c r="A20" s="2" t="str">
        <f ca="1">IFERROR(__xludf.UNSUPPORTED("""COMPUTED_VALUE"""),"LLB")</f>
        <v>LLB</v>
      </c>
      <c r="B20" s="1" t="s">
        <v>736</v>
      </c>
    </row>
    <row r="21" spans="1:5">
      <c r="A21" s="2" t="str">
        <f ca="1">IFERROR(__xludf.UNSUPPORTED("""COMPUTED_VALUE"""),"Diploma")</f>
        <v>Diploma</v>
      </c>
      <c r="B21" s="1" t="s">
        <v>737</v>
      </c>
    </row>
    <row r="22" spans="1:5">
      <c r="A22" s="2" t="str">
        <f ca="1">IFERROR(__xludf.UNSUPPORTED("""COMPUTED_VALUE"""),"M. Sc(mathematics)")</f>
        <v>M. Sc(mathematics)</v>
      </c>
      <c r="B22" s="1" t="s">
        <v>738</v>
      </c>
    </row>
    <row r="23" spans="1:5">
      <c r="A23" s="2" t="str">
        <f ca="1">IFERROR(__xludf.UNSUPPORTED("""COMPUTED_VALUE"""),"Diploma (Electrical &amp; Electronics Engineering)")</f>
        <v>Diploma (Electrical &amp; Electronics Engineering)</v>
      </c>
      <c r="B23" s="1" t="s">
        <v>737</v>
      </c>
    </row>
    <row r="24" spans="1:5">
      <c r="A24" s="2" t="str">
        <f ca="1">IFERROR(__xludf.UNSUPPORTED("""COMPUTED_VALUE"""),"Inter")</f>
        <v>Inter</v>
      </c>
      <c r="B24" s="1" t="s">
        <v>734</v>
      </c>
    </row>
    <row r="25" spans="1:5">
      <c r="A25" s="2" t="str">
        <f ca="1">IFERROR(__xludf.UNSUPPORTED("""COMPUTED_VALUE"""),"ITI ")</f>
        <v xml:space="preserve">ITI </v>
      </c>
      <c r="B25" s="1" t="s">
        <v>739</v>
      </c>
    </row>
    <row r="26" spans="1:5">
      <c r="A26" s="2" t="str">
        <f ca="1">IFERROR(__xludf.UNSUPPORTED("""COMPUTED_VALUE"""),"Iti")</f>
        <v>Iti</v>
      </c>
      <c r="B26" s="1" t="s">
        <v>739</v>
      </c>
    </row>
    <row r="27" spans="1:5">
      <c r="A27" s="2" t="str">
        <f ca="1">IFERROR(__xludf.UNSUPPORTED("""COMPUTED_VALUE"""),"ITI")</f>
        <v>ITI</v>
      </c>
      <c r="B27" s="1" t="s">
        <v>739</v>
      </c>
    </row>
    <row r="28" spans="1:5">
      <c r="A28" s="2" t="str">
        <f ca="1">IFERROR(__xludf.UNSUPPORTED("""COMPUTED_VALUE"""),"Ma economics")</f>
        <v>Ma economics</v>
      </c>
      <c r="B28" s="1" t="s">
        <v>740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aarohi d</dc:creator>
  <cp:keywords/>
  <dc:description/>
  <cp:lastModifiedBy/>
  <cp:revision/>
  <dcterms:created xsi:type="dcterms:W3CDTF">2022-08-21T09:13:25Z</dcterms:created>
  <dcterms:modified xsi:type="dcterms:W3CDTF">2026-09-19T08:12:09Z</dcterms:modified>
  <cp:category/>
  <cp:contentStatus/>
</cp:coreProperties>
</file>