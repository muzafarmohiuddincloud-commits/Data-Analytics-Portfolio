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116" documentId="11_8FC5BA8F7A0627E887CC228CC975B628B7C6340D" xr6:coauthVersionLast="47" xr6:coauthVersionMax="47" xr10:uidLastSave="{38CBBE71-777C-4527-A95C-4E425221E2F5}"/>
  <bookViews>
    <workbookView xWindow="0" yWindow="0" windowWidth="19200" windowHeight="7640" activeTab="5" xr2:uid="{00000000-000D-0000-FFFF-FFFF00000000}"/>
  </bookViews>
  <sheets>
    <sheet name="Data" sheetId="3" r:id="rId1"/>
    <sheet name="Qns" sheetId="4" r:id="rId2"/>
    <sheet name="2Qn" sheetId="1" r:id="rId3"/>
    <sheet name="3Qn" sheetId="2" r:id="rId4"/>
    <sheet name="Detail1" sheetId="6" r:id="rId5"/>
    <sheet name=" Answers" sheetId="5" r:id="rId6"/>
  </sheets>
  <calcPr calcId="191028"/>
  <pivotCaches>
    <pivotCache cacheId="47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9" i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2" i="5"/>
</calcChain>
</file>

<file path=xl/sharedStrings.xml><?xml version="1.0" encoding="utf-8"?>
<sst xmlns="http://schemas.openxmlformats.org/spreadsheetml/2006/main" count="1318" uniqueCount="271">
  <si>
    <t>Branch</t>
  </si>
  <si>
    <t>Employee ID</t>
  </si>
  <si>
    <t>Name</t>
  </si>
  <si>
    <t>Department</t>
  </si>
  <si>
    <t>Salary</t>
  </si>
  <si>
    <t>Age</t>
  </si>
  <si>
    <t>Experience (Years)</t>
  </si>
  <si>
    <t>Location</t>
  </si>
  <si>
    <t>Email</t>
  </si>
  <si>
    <t>Phone Number</t>
  </si>
  <si>
    <t>Status</t>
  </si>
  <si>
    <t>Downtown Office</t>
  </si>
  <si>
    <t>EMP001</t>
  </si>
  <si>
    <t>John Hernandez</t>
  </si>
  <si>
    <t>Marketing</t>
  </si>
  <si>
    <t>City A</t>
  </si>
  <si>
    <t>employee1@company.com</t>
  </si>
  <si>
    <t>123-456-7801</t>
  </si>
  <si>
    <t>Active</t>
  </si>
  <si>
    <t>Northside Branch</t>
  </si>
  <si>
    <t>EMP002</t>
  </si>
  <si>
    <t>David Williams</t>
  </si>
  <si>
    <t>Finance</t>
  </si>
  <si>
    <t>City B</t>
  </si>
  <si>
    <t>employee2@company.com</t>
  </si>
  <si>
    <t>123-456-7802</t>
  </si>
  <si>
    <t>Inactive</t>
  </si>
  <si>
    <t>West End Office</t>
  </si>
  <si>
    <t>EMP003</t>
  </si>
  <si>
    <t>Emily Smith</t>
  </si>
  <si>
    <t>IT</t>
  </si>
  <si>
    <t>City C</t>
  </si>
  <si>
    <t>employee3@company.com</t>
  </si>
  <si>
    <t>123-456-7803</t>
  </si>
  <si>
    <t>Central Plaza</t>
  </si>
  <si>
    <t>EMP004</t>
  </si>
  <si>
    <t>Matthew Garcia</t>
  </si>
  <si>
    <t>HR</t>
  </si>
  <si>
    <t>City D</t>
  </si>
  <si>
    <t>employee4@company.com</t>
  </si>
  <si>
    <t>123-456-7804</t>
  </si>
  <si>
    <t>Eastside Hub</t>
  </si>
  <si>
    <t>EMP005</t>
  </si>
  <si>
    <t>Jane Brown</t>
  </si>
  <si>
    <t>Sales</t>
  </si>
  <si>
    <t>City E</t>
  </si>
  <si>
    <t>employee5@company.com</t>
  </si>
  <si>
    <t>123-456-7805</t>
  </si>
  <si>
    <t>South Park Branch</t>
  </si>
  <si>
    <t>EMP006</t>
  </si>
  <si>
    <t>Jane Davis</t>
  </si>
  <si>
    <t>employee6@company.com</t>
  </si>
  <si>
    <t>123-456-7806</t>
  </si>
  <si>
    <t>Uptown Office</t>
  </si>
  <si>
    <t>EMP007</t>
  </si>
  <si>
    <t>Emily Jones</t>
  </si>
  <si>
    <t>employee7@company.com</t>
  </si>
  <si>
    <t>123-456-7807</t>
  </si>
  <si>
    <t>River Valley Branch</t>
  </si>
  <si>
    <t>EMP008</t>
  </si>
  <si>
    <t>Emily Williams</t>
  </si>
  <si>
    <t>employee8@company.com</t>
  </si>
  <si>
    <t>123-456-7808</t>
  </si>
  <si>
    <t>Hilltop Center</t>
  </si>
  <si>
    <t>EMP009</t>
  </si>
  <si>
    <t>Jessica Davis</t>
  </si>
  <si>
    <t>employee9@company.com</t>
  </si>
  <si>
    <t>123-456-7809</t>
  </si>
  <si>
    <t>Lakeside Branch</t>
  </si>
  <si>
    <t>EMP010</t>
  </si>
  <si>
    <t>Sarah Jones</t>
  </si>
  <si>
    <t>employee10@company.com</t>
  </si>
  <si>
    <t>123-456-7810</t>
  </si>
  <si>
    <t>EMP011</t>
  </si>
  <si>
    <t>Matthew Miller</t>
  </si>
  <si>
    <t>employee11@company.com</t>
  </si>
  <si>
    <t>123-456-7811</t>
  </si>
  <si>
    <t>EMP012</t>
  </si>
  <si>
    <t>David Garcia</t>
  </si>
  <si>
    <t>employee12@company.com</t>
  </si>
  <si>
    <t>123-456-7812</t>
  </si>
  <si>
    <t>EMP013</t>
  </si>
  <si>
    <t>David Johnson</t>
  </si>
  <si>
    <t>employee13@company.com</t>
  </si>
  <si>
    <t>123-456-7813</t>
  </si>
  <si>
    <t>EMP014</t>
  </si>
  <si>
    <t>Emily Johnson</t>
  </si>
  <si>
    <t>employee14@company.com</t>
  </si>
  <si>
    <t>123-456-7814</t>
  </si>
  <si>
    <t>EMP015</t>
  </si>
  <si>
    <t>Matthew Martinez</t>
  </si>
  <si>
    <t>employee15@company.com</t>
  </si>
  <si>
    <t>123-456-7815</t>
  </si>
  <si>
    <t>EMP016</t>
  </si>
  <si>
    <t>Jane Jones</t>
  </si>
  <si>
    <t>employee16@company.com</t>
  </si>
  <si>
    <t>123-456-7816</t>
  </si>
  <si>
    <t>EMP017</t>
  </si>
  <si>
    <t>Sarah Martinez</t>
  </si>
  <si>
    <t>employee17@company.com</t>
  </si>
  <si>
    <t>123-456-7817</t>
  </si>
  <si>
    <t>EMP018</t>
  </si>
  <si>
    <t>Daniel Brown</t>
  </si>
  <si>
    <t>employee18@company.com</t>
  </si>
  <si>
    <t>123-456-7818</t>
  </si>
  <si>
    <t>EMP019</t>
  </si>
  <si>
    <t>John Miller</t>
  </si>
  <si>
    <t>employee19@company.com</t>
  </si>
  <si>
    <t>123-456-7819</t>
  </si>
  <si>
    <t>EMP020</t>
  </si>
  <si>
    <t>John Williams</t>
  </si>
  <si>
    <t>employee20@company.com</t>
  </si>
  <si>
    <t>123-456-7820</t>
  </si>
  <si>
    <t>EMP021</t>
  </si>
  <si>
    <t>Jessica Garcia</t>
  </si>
  <si>
    <t>employee21@company.com</t>
  </si>
  <si>
    <t>123-456-7821</t>
  </si>
  <si>
    <t>EMP022</t>
  </si>
  <si>
    <t>Sophia Davis</t>
  </si>
  <si>
    <t>employee22@company.com</t>
  </si>
  <si>
    <t>123-456-7822</t>
  </si>
  <si>
    <t>EMP023</t>
  </si>
  <si>
    <t>Daniel Miller</t>
  </si>
  <si>
    <t>employee23@company.com</t>
  </si>
  <si>
    <t>123-456-7823</t>
  </si>
  <si>
    <t>EMP024</t>
  </si>
  <si>
    <t>Sarah Brown</t>
  </si>
  <si>
    <t>employee24@company.com</t>
  </si>
  <si>
    <t>123-456-7824</t>
  </si>
  <si>
    <t>EMP025</t>
  </si>
  <si>
    <t>John Garcia</t>
  </si>
  <si>
    <t>employee25@company.com</t>
  </si>
  <si>
    <t>123-456-7825</t>
  </si>
  <si>
    <t>EMP026</t>
  </si>
  <si>
    <t>Sophia Smith</t>
  </si>
  <si>
    <t>employee26@company.com</t>
  </si>
  <si>
    <t>123-456-7826</t>
  </si>
  <si>
    <t>EMP027</t>
  </si>
  <si>
    <t>Jessica Miller</t>
  </si>
  <si>
    <t>employee27@company.com</t>
  </si>
  <si>
    <t>123-456-7827</t>
  </si>
  <si>
    <t>EMP028</t>
  </si>
  <si>
    <t>John Brown</t>
  </si>
  <si>
    <t>employee28@company.com</t>
  </si>
  <si>
    <t>123-456-7828</t>
  </si>
  <si>
    <t>EMP029</t>
  </si>
  <si>
    <t>Matthew Jones</t>
  </si>
  <si>
    <t>employee29@company.com</t>
  </si>
  <si>
    <t>123-456-7829</t>
  </si>
  <si>
    <t>EMP030</t>
  </si>
  <si>
    <t>John Martinez</t>
  </si>
  <si>
    <t>employee30@company.com</t>
  </si>
  <si>
    <t>123-456-7830</t>
  </si>
  <si>
    <t>EMP031</t>
  </si>
  <si>
    <t>Sophia Miller</t>
  </si>
  <si>
    <t>employee31@company.com</t>
  </si>
  <si>
    <t>123-456-7831</t>
  </si>
  <si>
    <t>EMP032</t>
  </si>
  <si>
    <t>David Brown</t>
  </si>
  <si>
    <t>employee32@company.com</t>
  </si>
  <si>
    <t>123-456-7832</t>
  </si>
  <si>
    <t>EMP033</t>
  </si>
  <si>
    <t>Michael Davis</t>
  </si>
  <si>
    <t>employee33@company.com</t>
  </si>
  <si>
    <t>123-456-7833</t>
  </si>
  <si>
    <t>EMP034</t>
  </si>
  <si>
    <t>employee34@company.com</t>
  </si>
  <si>
    <t>123-456-7834</t>
  </si>
  <si>
    <t>EMP035</t>
  </si>
  <si>
    <t>employee35@company.com</t>
  </si>
  <si>
    <t>123-456-7835</t>
  </si>
  <si>
    <t>EMP036</t>
  </si>
  <si>
    <t>employee36@company.com</t>
  </si>
  <si>
    <t>123-456-7836</t>
  </si>
  <si>
    <t>EMP037</t>
  </si>
  <si>
    <t>employee37@company.com</t>
  </si>
  <si>
    <t>123-456-7837</t>
  </si>
  <si>
    <t>EMP038</t>
  </si>
  <si>
    <t>Jane Johnson</t>
  </si>
  <si>
    <t>employee38@company.com</t>
  </si>
  <si>
    <t>123-456-7838</t>
  </si>
  <si>
    <t>EMP039</t>
  </si>
  <si>
    <t>employee39@company.com</t>
  </si>
  <si>
    <t>123-456-7839</t>
  </si>
  <si>
    <t>EMP040</t>
  </si>
  <si>
    <t>Jessica Hernandez</t>
  </si>
  <si>
    <t>employee40@company.com</t>
  </si>
  <si>
    <t>123-456-7840</t>
  </si>
  <si>
    <t>EMP041</t>
  </si>
  <si>
    <t>Emily Hernandez</t>
  </si>
  <si>
    <t>employee41@company.com</t>
  </si>
  <si>
    <t>123-456-7841</t>
  </si>
  <si>
    <t>EMP042</t>
  </si>
  <si>
    <t>Michael Smith</t>
  </si>
  <si>
    <t>employee42@company.com</t>
  </si>
  <si>
    <t>123-456-7842</t>
  </si>
  <si>
    <t>EMP043</t>
  </si>
  <si>
    <t>employee43@company.com</t>
  </si>
  <si>
    <t>123-456-7843</t>
  </si>
  <si>
    <t>EMP044</t>
  </si>
  <si>
    <t>Michael Jones</t>
  </si>
  <si>
    <t>employee44@company.com</t>
  </si>
  <si>
    <t>123-456-7844</t>
  </si>
  <si>
    <t>EMP045</t>
  </si>
  <si>
    <t>Jane Garcia</t>
  </si>
  <si>
    <t>employee45@company.com</t>
  </si>
  <si>
    <t>123-456-7845</t>
  </si>
  <si>
    <t>EMP046</t>
  </si>
  <si>
    <t>employee46@company.com</t>
  </si>
  <si>
    <t>123-456-7846</t>
  </si>
  <si>
    <t>EMP047</t>
  </si>
  <si>
    <t>employee47@company.com</t>
  </si>
  <si>
    <t>123-456-7847</t>
  </si>
  <si>
    <t>EMP048</t>
  </si>
  <si>
    <t>employee48@company.com</t>
  </si>
  <si>
    <t>123-456-7848</t>
  </si>
  <si>
    <t>EMP049</t>
  </si>
  <si>
    <t>Emily Martinez</t>
  </si>
  <si>
    <t>employee49@company.com</t>
  </si>
  <si>
    <t>123-456-7849</t>
  </si>
  <si>
    <t>EMP050</t>
  </si>
  <si>
    <t>employee50@company.com</t>
  </si>
  <si>
    <t>123-456-7850</t>
  </si>
  <si>
    <t>Create a Pivot Table to show the number of employees in each Department.</t>
  </si>
  <si>
    <t>Create a Pivot Table to show the average Salary for each Department.</t>
  </si>
  <si>
    <t>Create a Pivot Table to show the number of Active and Inactive employees.</t>
  </si>
  <si>
    <t>Create a Pivot Table to show the number of employees in each Location.</t>
  </si>
  <si>
    <t>Create a Pivot Table showing Department-wise total Salary.</t>
  </si>
  <si>
    <t>Highlight all employees whose Salary is greater than 50,500.</t>
  </si>
  <si>
    <t>Highlight all employees whose Status is Inactive.</t>
  </si>
  <si>
    <t>Apply duplicate formatting to identify duplicate employee names.</t>
  </si>
  <si>
    <t>Create a new column called Employee Status:</t>
  </si>
  <si>
    <r>
      <t xml:space="preserve">If Status is </t>
    </r>
    <r>
      <rPr>
        <sz val="10"/>
        <color theme="1"/>
        <rFont val="Arial Unicode MS"/>
        <family val="2"/>
      </rPr>
      <t>Active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  <family val="2"/>
      </rPr>
      <t>"Working"</t>
    </r>
  </si>
  <si>
    <r>
      <t xml:space="preserve">If Status is </t>
    </r>
    <r>
      <rPr>
        <sz val="10"/>
        <color theme="1"/>
        <rFont val="Arial Unicode MS"/>
        <family val="2"/>
      </rPr>
      <t>Inactive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  <family val="2"/>
      </rPr>
      <t>"Not Working"</t>
    </r>
  </si>
  <si>
    <t>Need a formula in cell C14 that does the following:</t>
  </si>
  <si>
    <t>IF A14+B14 &lt;= 4, return 20</t>
  </si>
  <si>
    <t>IF A14+B14 &gt; 4 but &lt;= 9, return 35</t>
  </si>
  <si>
    <t>IF A14+B14 &gt; 9 but &lt;= 14, return 50</t>
  </si>
  <si>
    <t>IF A14+B14&gt; 14, return 75</t>
  </si>
  <si>
    <t>Highlight the Country</t>
  </si>
  <si>
    <t>if sales &gt; 1000</t>
  </si>
  <si>
    <t>if sales between 500 and 1000</t>
  </si>
  <si>
    <t>If sales &lt; 500</t>
  </si>
  <si>
    <t>Country</t>
  </si>
  <si>
    <t>Italy</t>
  </si>
  <si>
    <t>Ireland</t>
  </si>
  <si>
    <t>Portugal</t>
  </si>
  <si>
    <t>Belgium</t>
  </si>
  <si>
    <t>UK</t>
  </si>
  <si>
    <t>Sweden</t>
  </si>
  <si>
    <t>France</t>
  </si>
  <si>
    <t>Denmark</t>
  </si>
  <si>
    <t>Hungary</t>
  </si>
  <si>
    <t>Netherlands</t>
  </si>
  <si>
    <t>Switzerland</t>
  </si>
  <si>
    <t>Germany</t>
  </si>
  <si>
    <t>Spain</t>
  </si>
  <si>
    <t>Austria</t>
  </si>
  <si>
    <t>Finland</t>
  </si>
  <si>
    <t>Details for Average of Salary</t>
  </si>
  <si>
    <t>Employee Status</t>
  </si>
  <si>
    <r>
      <rPr>
        <b/>
        <i/>
        <u/>
        <sz val="11"/>
        <color rgb="FFED7D31"/>
        <rFont val="Aptos Narrow"/>
      </rPr>
      <t>the number of employees in each Department</t>
    </r>
    <r>
      <rPr>
        <sz val="11"/>
        <color rgb="FF242424"/>
        <rFont val="Aptos Narrow"/>
      </rPr>
      <t>.</t>
    </r>
  </si>
  <si>
    <t>the average Salary for each Department.</t>
  </si>
  <si>
    <t>Count of Name</t>
  </si>
  <si>
    <t>Average of Salary</t>
  </si>
  <si>
    <t>(blank)</t>
  </si>
  <si>
    <t>Grand Total</t>
  </si>
  <si>
    <t>the number of Active and Inactive employees.</t>
  </si>
  <si>
    <t>the number of employees in each Location.</t>
  </si>
  <si>
    <t>Department-wise total Salary.</t>
  </si>
  <si>
    <t>Sum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</si>
</sst>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800080"/>
      <name val="Calibri"/>
      <family val="2"/>
    </font>
    <font>
      <b/>
      <sz val="11"/>
      <name val="Calibri"/>
      <family val="2"/>
    </font>
    <font>
      <b/>
      <sz val="11"/>
      <color rgb="FFFFFF00"/>
      <name val="Calibri"/>
      <family val="2"/>
      <scheme val="minor"/>
    </font>
    <font>
      <sz val="10"/>
      <color theme="1"/>
      <name val="Arial Unicode MS"/>
      <family val="2"/>
    </font>
    <font>
      <b/>
      <i/>
      <u/>
      <sz val="11"/>
      <color rgb="FFED7D31"/>
      <name val="Aptos Narrow"/>
    </font>
    <font>
      <sz val="11"/>
      <color rgb="FF242424"/>
      <name val="Aptos Narrow"/>
    </font>
    <font>
      <b/>
      <i/>
      <u/>
      <sz val="11"/>
      <color rgb="FFED7D31"/>
      <name val="Calibri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C2D69B"/>
        <bgColor rgb="FFC2D69B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366092"/>
        <bgColor rgb="FF366092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left"/>
    </xf>
    <xf numFmtId="1" fontId="2" fillId="2" borderId="1" xfId="0" applyNumberFormat="1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1" fillId="4" borderId="0" xfId="0" applyFont="1" applyFill="1" applyBorder="1"/>
    <xf numFmtId="0" fontId="1" fillId="5" borderId="0" xfId="0" applyFont="1" applyFill="1" applyBorder="1"/>
    <xf numFmtId="0" fontId="1" fillId="6" borderId="0" xfId="0" applyFont="1" applyFill="1" applyBorder="1"/>
    <xf numFmtId="0" fontId="3" fillId="7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vertical="center" indent="1"/>
    </xf>
    <xf numFmtId="0" fontId="4" fillId="8" borderId="0" xfId="0" applyFont="1" applyFill="1" applyAlignment="1">
      <alignment horizontal="left"/>
    </xf>
    <xf numFmtId="0" fontId="4" fillId="8" borderId="2" xfId="0" applyFont="1" applyFill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Font="1"/>
    <xf numFmtId="0" fontId="0" fillId="0" borderId="0" xfId="0" applyFont="1" applyAlignment="1">
      <alignment horizontal="left" vertical="center" indent="1"/>
    </xf>
    <xf numFmtId="0" fontId="7" fillId="0" borderId="0" xfId="0" applyFont="1"/>
    <xf numFmtId="0" fontId="6" fillId="0" borderId="0" xfId="0" applyFont="1"/>
    <xf numFmtId="0" fontId="8" fillId="0" borderId="0" xfId="0" applyFont="1"/>
    <xf numFmtId="0" fontId="4" fillId="9" borderId="3" xfId="0" applyFont="1" applyFill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1" xfId="0" applyBorder="1"/>
    <xf numFmtId="0" fontId="4" fillId="8" borderId="4" xfId="0" applyFont="1" applyFill="1" applyBorder="1" applyAlignment="1">
      <alignment horizontal="left"/>
    </xf>
    <xf numFmtId="0" fontId="4" fillId="8" borderId="5" xfId="0" applyFont="1" applyFill="1" applyBorder="1" applyAlignment="1">
      <alignment horizontal="left" vertical="top"/>
    </xf>
    <xf numFmtId="0" fontId="4" fillId="8" borderId="6" xfId="0" applyFont="1" applyFill="1" applyBorder="1" applyAlignment="1">
      <alignment horizontal="left" vertical="top"/>
    </xf>
    <xf numFmtId="0" fontId="0" fillId="0" borderId="7" xfId="0" applyBorder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/>
    <xf numFmtId="0" fontId="0" fillId="0" borderId="1" xfId="0" pivotButton="1" applyBorder="1"/>
    <xf numFmtId="0" fontId="0" fillId="0" borderId="1" xfId="0" applyNumberFormat="1" applyBorder="1"/>
    <xf numFmtId="0" fontId="9" fillId="0" borderId="0" xfId="0" applyFont="1"/>
  </cellXfs>
  <cellStyles count="1">
    <cellStyle name="Normal" xfId="0" builtinId="0"/>
  </cellStyles>
  <dxfs count="37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8.482522800929" createdVersion="8" refreshedVersion="8" minRefreshableVersion="3" recordCount="51" xr:uid="{65612C5A-72A2-4BED-A796-48CEC3F511EA}">
  <cacheSource type="worksheet">
    <worksheetSource ref="A1:K1048576" sheet=" Answers"/>
  </cacheSource>
  <cacheFields count="11">
    <cacheField name="Branch" numFmtId="0">
      <sharedItems containsBlank="1"/>
    </cacheField>
    <cacheField name="Employee ID" numFmtId="0">
      <sharedItems containsBlank="1"/>
    </cacheField>
    <cacheField name="Name" numFmtId="0">
      <sharedItems containsBlank="1" count="41">
        <s v="John Hernandez"/>
        <s v="David Williams"/>
        <s v="Emily Smith"/>
        <s v="Matthew Garcia"/>
        <s v="Jane Brown"/>
        <s v="Jane Davis"/>
        <s v="Emily Jones"/>
        <s v="Emily Williams"/>
        <s v="Jessica Davis"/>
        <s v="Sarah Jones"/>
        <s v="Matthew Miller"/>
        <s v="David Garcia"/>
        <s v="David Johnson"/>
        <s v="Emily Johnson"/>
        <s v="Matthew Martinez"/>
        <s v="Jane Jones"/>
        <s v="Sarah Martinez"/>
        <s v="Daniel Brown"/>
        <s v="John Miller"/>
        <s v="John Williams"/>
        <s v="Jessica Garcia"/>
        <s v="Sophia Davis"/>
        <s v="Daniel Miller"/>
        <s v="Sarah Brown"/>
        <s v="John Garcia"/>
        <s v="Sophia Smith"/>
        <s v="Jessica Miller"/>
        <s v="John Brown"/>
        <s v="Matthew Jones"/>
        <s v="John Martinez"/>
        <s v="Sophia Miller"/>
        <s v="David Brown"/>
        <s v="Michael Davis"/>
        <s v="Jane Johnson"/>
        <s v="Jessica Hernandez"/>
        <s v="Emily Hernandez"/>
        <s v="Michael Smith"/>
        <s v="Michael Jones"/>
        <s v="Jane Garcia"/>
        <s v="Emily Martinez"/>
        <m/>
      </sharedItems>
    </cacheField>
    <cacheField name="Department" numFmtId="0">
      <sharedItems containsBlank="1" count="6">
        <s v="Marketing"/>
        <s v="Finance"/>
        <s v="IT"/>
        <s v="HR"/>
        <s v="Sales"/>
        <m/>
      </sharedItems>
    </cacheField>
    <cacheField name="Salary" numFmtId="0">
      <sharedItems containsString="0" containsBlank="1" containsNumber="1" containsInteger="1" minValue="50100" maxValue="55000"/>
    </cacheField>
    <cacheField name="Age" numFmtId="0">
      <sharedItems containsString="0" containsBlank="1" containsNumber="1" containsInteger="1" minValue="25" maxValue="34"/>
    </cacheField>
    <cacheField name="Experience (Years)" numFmtId="0">
      <sharedItems containsString="0" containsBlank="1" containsNumber="1" containsInteger="1" minValue="1" maxValue="15"/>
    </cacheField>
    <cacheField name="Location" numFmtId="0">
      <sharedItems containsBlank="1" count="6">
        <s v="City A"/>
        <s v="City B"/>
        <s v="City C"/>
        <s v="City D"/>
        <s v="City E"/>
        <m/>
      </sharedItems>
    </cacheField>
    <cacheField name="Email" numFmtId="0">
      <sharedItems containsBlank="1"/>
    </cacheField>
    <cacheField name="Phone Number" numFmtId="0">
      <sharedItems containsBlank="1"/>
    </cacheField>
    <cacheField name="Status" numFmtId="0">
      <sharedItems containsBlank="1" count="3">
        <s v="Active"/>
        <s v="Inactiv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s v="Downtown Office"/>
    <s v="EMP001"/>
    <x v="0"/>
    <x v="0"/>
    <n v="50100"/>
    <n v="26"/>
    <n v="2"/>
    <x v="0"/>
    <s v="employee1@company.com"/>
    <s v="123-456-7801"/>
    <x v="0"/>
  </r>
  <r>
    <s v="Northside Branch"/>
    <s v="EMP002"/>
    <x v="1"/>
    <x v="1"/>
    <n v="50200"/>
    <n v="27"/>
    <n v="3"/>
    <x v="1"/>
    <s v="employee2@company.com"/>
    <s v="123-456-7802"/>
    <x v="1"/>
  </r>
  <r>
    <s v="West End Office"/>
    <s v="EMP003"/>
    <x v="2"/>
    <x v="2"/>
    <n v="50300"/>
    <n v="28"/>
    <n v="4"/>
    <x v="2"/>
    <s v="employee3@company.com"/>
    <s v="123-456-7803"/>
    <x v="0"/>
  </r>
  <r>
    <s v="Central Plaza"/>
    <s v="EMP004"/>
    <x v="3"/>
    <x v="3"/>
    <n v="50300"/>
    <n v="29"/>
    <n v="5"/>
    <x v="3"/>
    <s v="employee4@company.com"/>
    <s v="123-456-7804"/>
    <x v="1"/>
  </r>
  <r>
    <s v="Eastside Hub"/>
    <s v="EMP005"/>
    <x v="4"/>
    <x v="4"/>
    <n v="50300"/>
    <n v="30"/>
    <n v="6"/>
    <x v="4"/>
    <s v="employee5@company.com"/>
    <s v="123-456-7805"/>
    <x v="0"/>
  </r>
  <r>
    <s v="South Park Branch"/>
    <s v="EMP006"/>
    <x v="5"/>
    <x v="0"/>
    <n v="50300"/>
    <n v="31"/>
    <n v="7"/>
    <x v="0"/>
    <s v="employee6@company.com"/>
    <s v="123-456-7806"/>
    <x v="1"/>
  </r>
  <r>
    <s v="Uptown Office"/>
    <s v="EMP007"/>
    <x v="6"/>
    <x v="1"/>
    <n v="50300"/>
    <n v="32"/>
    <n v="8"/>
    <x v="1"/>
    <s v="employee7@company.com"/>
    <s v="123-456-7807"/>
    <x v="0"/>
  </r>
  <r>
    <s v="River Valley Branch"/>
    <s v="EMP008"/>
    <x v="7"/>
    <x v="2"/>
    <n v="50300"/>
    <n v="33"/>
    <n v="9"/>
    <x v="2"/>
    <s v="employee8@company.com"/>
    <s v="123-456-7808"/>
    <x v="1"/>
  </r>
  <r>
    <s v="Hilltop Center"/>
    <s v="EMP009"/>
    <x v="8"/>
    <x v="3"/>
    <n v="50300"/>
    <n v="34"/>
    <n v="10"/>
    <x v="3"/>
    <s v="employee9@company.com"/>
    <s v="123-456-7809"/>
    <x v="0"/>
  </r>
  <r>
    <s v="Lakeside Branch"/>
    <s v="EMP010"/>
    <x v="9"/>
    <x v="4"/>
    <n v="50300"/>
    <n v="25"/>
    <n v="11"/>
    <x v="4"/>
    <s v="employee10@company.com"/>
    <s v="123-456-7810"/>
    <x v="1"/>
  </r>
  <r>
    <s v="Downtown Office"/>
    <s v="EMP011"/>
    <x v="10"/>
    <x v="0"/>
    <n v="51100"/>
    <n v="26"/>
    <n v="12"/>
    <x v="0"/>
    <s v="employee11@company.com"/>
    <s v="123-456-7811"/>
    <x v="0"/>
  </r>
  <r>
    <s v="Northside Branch"/>
    <s v="EMP012"/>
    <x v="11"/>
    <x v="1"/>
    <n v="51200"/>
    <n v="27"/>
    <n v="13"/>
    <x v="1"/>
    <s v="employee12@company.com"/>
    <s v="123-456-7812"/>
    <x v="1"/>
  </r>
  <r>
    <s v="West End Office"/>
    <s v="EMP013"/>
    <x v="12"/>
    <x v="2"/>
    <n v="51300"/>
    <n v="28"/>
    <n v="14"/>
    <x v="2"/>
    <s v="employee13@company.com"/>
    <s v="123-456-7813"/>
    <x v="0"/>
  </r>
  <r>
    <s v="Central Plaza"/>
    <s v="EMP014"/>
    <x v="13"/>
    <x v="3"/>
    <n v="51400"/>
    <n v="29"/>
    <n v="15"/>
    <x v="3"/>
    <s v="employee14@company.com"/>
    <s v="123-456-7814"/>
    <x v="1"/>
  </r>
  <r>
    <s v="Eastside Hub"/>
    <s v="EMP015"/>
    <x v="14"/>
    <x v="4"/>
    <n v="51500"/>
    <n v="30"/>
    <n v="1"/>
    <x v="4"/>
    <s v="employee15@company.com"/>
    <s v="123-456-7815"/>
    <x v="0"/>
  </r>
  <r>
    <s v="South Park Branch"/>
    <s v="EMP016"/>
    <x v="15"/>
    <x v="0"/>
    <n v="51600"/>
    <n v="31"/>
    <n v="2"/>
    <x v="0"/>
    <s v="employee16@company.com"/>
    <s v="123-456-7816"/>
    <x v="1"/>
  </r>
  <r>
    <s v="Uptown Office"/>
    <s v="EMP017"/>
    <x v="16"/>
    <x v="1"/>
    <n v="51700"/>
    <n v="32"/>
    <n v="3"/>
    <x v="1"/>
    <s v="employee17@company.com"/>
    <s v="123-456-7817"/>
    <x v="0"/>
  </r>
  <r>
    <s v="River Valley Branch"/>
    <s v="EMP018"/>
    <x v="17"/>
    <x v="2"/>
    <n v="51800"/>
    <n v="33"/>
    <n v="4"/>
    <x v="2"/>
    <s v="employee18@company.com"/>
    <s v="123-456-7818"/>
    <x v="1"/>
  </r>
  <r>
    <s v="Hilltop Center"/>
    <s v="EMP019"/>
    <x v="18"/>
    <x v="3"/>
    <n v="51900"/>
    <n v="34"/>
    <n v="5"/>
    <x v="3"/>
    <s v="employee19@company.com"/>
    <s v="123-456-7819"/>
    <x v="0"/>
  </r>
  <r>
    <s v="Lakeside Branch"/>
    <s v="EMP020"/>
    <x v="19"/>
    <x v="4"/>
    <n v="52000"/>
    <n v="25"/>
    <n v="6"/>
    <x v="4"/>
    <s v="employee20@company.com"/>
    <s v="123-456-7820"/>
    <x v="1"/>
  </r>
  <r>
    <s v="Downtown Office"/>
    <s v="EMP021"/>
    <x v="20"/>
    <x v="0"/>
    <n v="52100"/>
    <n v="26"/>
    <n v="7"/>
    <x v="0"/>
    <s v="employee21@company.com"/>
    <s v="123-456-7821"/>
    <x v="0"/>
  </r>
  <r>
    <s v="Northside Branch"/>
    <s v="EMP022"/>
    <x v="21"/>
    <x v="1"/>
    <n v="52200"/>
    <n v="27"/>
    <n v="8"/>
    <x v="1"/>
    <s v="employee22@company.com"/>
    <s v="123-456-7822"/>
    <x v="1"/>
  </r>
  <r>
    <s v="West End Office"/>
    <s v="EMP023"/>
    <x v="22"/>
    <x v="2"/>
    <n v="52300"/>
    <n v="28"/>
    <n v="9"/>
    <x v="2"/>
    <s v="employee23@company.com"/>
    <s v="123-456-7823"/>
    <x v="0"/>
  </r>
  <r>
    <s v="Central Plaza"/>
    <s v="EMP024"/>
    <x v="23"/>
    <x v="3"/>
    <n v="52400"/>
    <n v="29"/>
    <n v="10"/>
    <x v="3"/>
    <s v="employee24@company.com"/>
    <s v="123-456-7824"/>
    <x v="1"/>
  </r>
  <r>
    <s v="Eastside Hub"/>
    <s v="EMP025"/>
    <x v="24"/>
    <x v="4"/>
    <n v="52500"/>
    <n v="30"/>
    <n v="11"/>
    <x v="4"/>
    <s v="employee25@company.com"/>
    <s v="123-456-7825"/>
    <x v="0"/>
  </r>
  <r>
    <s v="South Park Branch"/>
    <s v="EMP026"/>
    <x v="25"/>
    <x v="0"/>
    <n v="52600"/>
    <n v="31"/>
    <n v="12"/>
    <x v="0"/>
    <s v="employee26@company.com"/>
    <s v="123-456-7826"/>
    <x v="1"/>
  </r>
  <r>
    <s v="Uptown Office"/>
    <s v="EMP027"/>
    <x v="26"/>
    <x v="1"/>
    <n v="52700"/>
    <n v="32"/>
    <n v="13"/>
    <x v="1"/>
    <s v="employee27@company.com"/>
    <s v="123-456-7827"/>
    <x v="0"/>
  </r>
  <r>
    <s v="River Valley Branch"/>
    <s v="EMP028"/>
    <x v="27"/>
    <x v="2"/>
    <n v="52800"/>
    <n v="33"/>
    <n v="14"/>
    <x v="2"/>
    <s v="employee28@company.com"/>
    <s v="123-456-7828"/>
    <x v="1"/>
  </r>
  <r>
    <s v="Hilltop Center"/>
    <s v="EMP029"/>
    <x v="28"/>
    <x v="3"/>
    <n v="52900"/>
    <n v="34"/>
    <n v="15"/>
    <x v="3"/>
    <s v="employee29@company.com"/>
    <s v="123-456-7829"/>
    <x v="0"/>
  </r>
  <r>
    <s v="Lakeside Branch"/>
    <s v="EMP030"/>
    <x v="29"/>
    <x v="4"/>
    <n v="53000"/>
    <n v="25"/>
    <n v="1"/>
    <x v="4"/>
    <s v="employee30@company.com"/>
    <s v="123-456-7830"/>
    <x v="1"/>
  </r>
  <r>
    <s v="Downtown Office"/>
    <s v="EMP031"/>
    <x v="30"/>
    <x v="0"/>
    <n v="53100"/>
    <n v="26"/>
    <n v="2"/>
    <x v="0"/>
    <s v="employee31@company.com"/>
    <s v="123-456-7831"/>
    <x v="0"/>
  </r>
  <r>
    <s v="Northside Branch"/>
    <s v="EMP032"/>
    <x v="31"/>
    <x v="1"/>
    <n v="53200"/>
    <n v="27"/>
    <n v="3"/>
    <x v="1"/>
    <s v="employee32@company.com"/>
    <s v="123-456-7832"/>
    <x v="1"/>
  </r>
  <r>
    <s v="West End Office"/>
    <s v="EMP033"/>
    <x v="32"/>
    <x v="2"/>
    <n v="53300"/>
    <n v="28"/>
    <n v="4"/>
    <x v="2"/>
    <s v="employee33@company.com"/>
    <s v="123-456-7833"/>
    <x v="0"/>
  </r>
  <r>
    <s v="Central Plaza"/>
    <s v="EMP034"/>
    <x v="18"/>
    <x v="3"/>
    <n v="53400"/>
    <n v="29"/>
    <n v="5"/>
    <x v="3"/>
    <s v="employee34@company.com"/>
    <s v="123-456-7834"/>
    <x v="1"/>
  </r>
  <r>
    <s v="Eastside Hub"/>
    <s v="EMP035"/>
    <x v="15"/>
    <x v="4"/>
    <n v="53500"/>
    <n v="30"/>
    <n v="6"/>
    <x v="4"/>
    <s v="employee35@company.com"/>
    <s v="123-456-7835"/>
    <x v="0"/>
  </r>
  <r>
    <s v="South Park Branch"/>
    <s v="EMP036"/>
    <x v="25"/>
    <x v="0"/>
    <n v="53600"/>
    <n v="31"/>
    <n v="7"/>
    <x v="0"/>
    <s v="employee36@company.com"/>
    <s v="123-456-7836"/>
    <x v="1"/>
  </r>
  <r>
    <s v="Uptown Office"/>
    <s v="EMP037"/>
    <x v="25"/>
    <x v="1"/>
    <n v="53700"/>
    <n v="32"/>
    <n v="8"/>
    <x v="1"/>
    <s v="employee37@company.com"/>
    <s v="123-456-7837"/>
    <x v="0"/>
  </r>
  <r>
    <s v="River Valley Branch"/>
    <s v="EMP038"/>
    <x v="33"/>
    <x v="2"/>
    <n v="53800"/>
    <n v="33"/>
    <n v="9"/>
    <x v="2"/>
    <s v="employee38@company.com"/>
    <s v="123-456-7838"/>
    <x v="1"/>
  </r>
  <r>
    <s v="Hilltop Center"/>
    <s v="EMP039"/>
    <x v="21"/>
    <x v="3"/>
    <n v="53900"/>
    <n v="34"/>
    <n v="10"/>
    <x v="3"/>
    <s v="employee39@company.com"/>
    <s v="123-456-7839"/>
    <x v="0"/>
  </r>
  <r>
    <s v="Lakeside Branch"/>
    <s v="EMP040"/>
    <x v="34"/>
    <x v="4"/>
    <n v="54000"/>
    <n v="25"/>
    <n v="11"/>
    <x v="4"/>
    <s v="employee40@company.com"/>
    <s v="123-456-7840"/>
    <x v="1"/>
  </r>
  <r>
    <s v="Downtown Office"/>
    <s v="EMP041"/>
    <x v="35"/>
    <x v="0"/>
    <n v="54100"/>
    <n v="26"/>
    <n v="12"/>
    <x v="0"/>
    <s v="employee41@company.com"/>
    <s v="123-456-7841"/>
    <x v="0"/>
  </r>
  <r>
    <s v="Northside Branch"/>
    <s v="EMP042"/>
    <x v="36"/>
    <x v="1"/>
    <n v="54200"/>
    <n v="27"/>
    <n v="13"/>
    <x v="1"/>
    <s v="employee42@company.com"/>
    <s v="123-456-7842"/>
    <x v="1"/>
  </r>
  <r>
    <s v="West End Office"/>
    <s v="EMP043"/>
    <x v="28"/>
    <x v="2"/>
    <n v="54300"/>
    <n v="28"/>
    <n v="14"/>
    <x v="2"/>
    <s v="employee43@company.com"/>
    <s v="123-456-7843"/>
    <x v="0"/>
  </r>
  <r>
    <s v="Central Plaza"/>
    <s v="EMP044"/>
    <x v="37"/>
    <x v="3"/>
    <n v="54400"/>
    <n v="29"/>
    <n v="15"/>
    <x v="3"/>
    <s v="employee44@company.com"/>
    <s v="123-456-7844"/>
    <x v="1"/>
  </r>
  <r>
    <s v="Eastside Hub"/>
    <s v="EMP045"/>
    <x v="38"/>
    <x v="4"/>
    <n v="54500"/>
    <n v="30"/>
    <n v="1"/>
    <x v="4"/>
    <s v="employee45@company.com"/>
    <s v="123-456-7845"/>
    <x v="0"/>
  </r>
  <r>
    <s v="South Park Branch"/>
    <s v="EMP046"/>
    <x v="12"/>
    <x v="0"/>
    <n v="54600"/>
    <n v="31"/>
    <n v="2"/>
    <x v="0"/>
    <s v="employee46@company.com"/>
    <s v="123-456-7846"/>
    <x v="1"/>
  </r>
  <r>
    <s v="Uptown Office"/>
    <s v="EMP047"/>
    <x v="10"/>
    <x v="1"/>
    <n v="54700"/>
    <n v="32"/>
    <n v="3"/>
    <x v="1"/>
    <s v="employee47@company.com"/>
    <s v="123-456-7847"/>
    <x v="0"/>
  </r>
  <r>
    <s v="River Valley Branch"/>
    <s v="EMP048"/>
    <x v="14"/>
    <x v="2"/>
    <n v="54800"/>
    <n v="33"/>
    <n v="4"/>
    <x v="2"/>
    <s v="employee48@company.com"/>
    <s v="123-456-7848"/>
    <x v="1"/>
  </r>
  <r>
    <s v="Hilltop Center"/>
    <s v="EMP049"/>
    <x v="39"/>
    <x v="3"/>
    <n v="54900"/>
    <n v="34"/>
    <n v="5"/>
    <x v="3"/>
    <s v="employee49@company.com"/>
    <s v="123-456-7849"/>
    <x v="0"/>
  </r>
  <r>
    <s v="Lakeside Branch"/>
    <s v="EMP050"/>
    <x v="17"/>
    <x v="4"/>
    <n v="55000"/>
    <n v="25"/>
    <n v="6"/>
    <x v="4"/>
    <s v="employee50@company.com"/>
    <s v="123-456-7850"/>
    <x v="1"/>
  </r>
  <r>
    <m/>
    <m/>
    <x v="40"/>
    <x v="5"/>
    <m/>
    <m/>
    <m/>
    <x v="5"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154D06-B5A8-4E23-81F5-8136C5390AFC}" name="PivotTable3" cacheId="4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N14:O18" firstHeaderRow="1" firstDataRow="1" firstDataCol="1"/>
  <pivotFields count="11">
    <pivotField compact="0" outline="0" showAll="0"/>
    <pivotField compact="0" outline="0" showAll="0"/>
    <pivotField dataField="1" compact="0" outline="0" showAll="0">
      <items count="42">
        <item x="17"/>
        <item x="22"/>
        <item x="31"/>
        <item x="11"/>
        <item x="12"/>
        <item x="1"/>
        <item x="35"/>
        <item x="13"/>
        <item x="6"/>
        <item x="39"/>
        <item x="2"/>
        <item x="7"/>
        <item x="4"/>
        <item x="5"/>
        <item x="38"/>
        <item x="33"/>
        <item x="15"/>
        <item x="8"/>
        <item x="20"/>
        <item x="34"/>
        <item x="26"/>
        <item x="27"/>
        <item x="24"/>
        <item x="0"/>
        <item x="29"/>
        <item x="18"/>
        <item x="19"/>
        <item x="3"/>
        <item x="28"/>
        <item x="14"/>
        <item x="10"/>
        <item x="32"/>
        <item x="37"/>
        <item x="36"/>
        <item x="23"/>
        <item x="9"/>
        <item x="16"/>
        <item x="21"/>
        <item x="30"/>
        <item x="25"/>
        <item x="4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Name" fld="2" subtotal="count" baseField="0" baseItem="0"/>
  </dataFields>
  <formats count="6">
    <format dxfId="31">
      <pivotArea type="all" dataOnly="0" outline="0" fieldPosition="0"/>
    </format>
    <format dxfId="32">
      <pivotArea outline="0" collapsedLevelsAreSubtotals="1" fieldPosition="0"/>
    </format>
    <format dxfId="33">
      <pivotArea field="10" type="button" dataOnly="0" labelOnly="1" outline="0" axis="axisRow" fieldPosition="0"/>
    </format>
    <format dxfId="34">
      <pivotArea dataOnly="0" labelOnly="1" outline="0" fieldPosition="0">
        <references count="1">
          <reference field="10" count="0"/>
        </references>
      </pivotArea>
    </format>
    <format dxfId="35">
      <pivotArea dataOnly="0" labelOnly="1" grandRow="1" outline="0" fieldPosition="0"/>
    </format>
    <format dxfId="3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346B86-7D0C-464C-9493-8D2CF32AB578}" name="PivotTable2" cacheId="4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Q4:R10" firstHeaderRow="1" firstDataRow="1" firstDataCol="1"/>
  <pivotFields count="11">
    <pivotField compact="0" outline="0" showAll="0"/>
    <pivotField compact="0" outline="0" showAll="0"/>
    <pivotField compact="0" outline="0" showAll="0"/>
    <pivotField axis="axisRow" compact="0" outline="0" showAll="0">
      <items count="7">
        <item x="1"/>
        <item x="3"/>
        <item x="2"/>
        <item x="0"/>
        <item x="4"/>
        <item h="1" x="5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lary" fld="4" subtotal="average" baseField="0" baseItem="0"/>
  </dataFields>
  <formats count="6">
    <format dxfId="25">
      <pivotArea type="all" dataOnly="0" outline="0" fieldPosition="0"/>
    </format>
    <format dxfId="26">
      <pivotArea outline="0" collapsedLevelsAreSubtotals="1" fieldPosition="0"/>
    </format>
    <format dxfId="27">
      <pivotArea field="3" type="button" dataOnly="0" labelOnly="1" outline="0" axis="axisRow" fieldPosition="0"/>
    </format>
    <format dxfId="28">
      <pivotArea dataOnly="0" labelOnly="1" outline="0" fieldPosition="0">
        <references count="1">
          <reference field="3" count="0"/>
        </references>
      </pivotArea>
    </format>
    <format dxfId="29">
      <pivotArea dataOnly="0" labelOnly="1" grandRow="1" outline="0" fieldPosition="0"/>
    </format>
    <format dxfId="3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5CA979-7518-49CF-AF51-66DECB0935D0}" name="PivotTable1" cacheId="4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N4:O11" firstHeaderRow="1" firstDataRow="1" firstDataCol="1"/>
  <pivotFields count="11">
    <pivotField compact="0" outline="0" showAll="0"/>
    <pivotField compact="0" outline="0" showAll="0"/>
    <pivotField dataField="1" compact="0" outline="0" showAll="0">
      <items count="42">
        <item x="17"/>
        <item x="22"/>
        <item x="31"/>
        <item x="11"/>
        <item x="12"/>
        <item x="1"/>
        <item x="35"/>
        <item x="13"/>
        <item x="6"/>
        <item x="39"/>
        <item x="2"/>
        <item x="7"/>
        <item x="4"/>
        <item x="5"/>
        <item x="38"/>
        <item x="33"/>
        <item x="15"/>
        <item x="8"/>
        <item x="20"/>
        <item x="34"/>
        <item x="26"/>
        <item x="27"/>
        <item x="24"/>
        <item x="0"/>
        <item x="29"/>
        <item x="18"/>
        <item x="19"/>
        <item x="3"/>
        <item x="28"/>
        <item x="14"/>
        <item x="10"/>
        <item x="32"/>
        <item x="37"/>
        <item x="36"/>
        <item x="23"/>
        <item x="9"/>
        <item x="16"/>
        <item x="21"/>
        <item x="30"/>
        <item x="25"/>
        <item x="40"/>
        <item t="default"/>
      </items>
    </pivotField>
    <pivotField axis="axisRow" compact="0" outline="0" showAll="0">
      <items count="7">
        <item x="1"/>
        <item x="3"/>
        <item x="2"/>
        <item x="0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Name" fld="2" subtotal="count" baseField="0" baseItem="0"/>
  </dataFields>
  <formats count="6">
    <format dxfId="19">
      <pivotArea type="all" dataOnly="0" outline="0" fieldPosition="0"/>
    </format>
    <format dxfId="20">
      <pivotArea outline="0" collapsedLevelsAreSubtotals="1" fieldPosition="0"/>
    </format>
    <format dxfId="21">
      <pivotArea field="3" type="button" dataOnly="0" labelOnly="1" outline="0" axis="axisRow" fieldPosition="0"/>
    </format>
    <format dxfId="22">
      <pivotArea dataOnly="0" labelOnly="1" outline="0" fieldPosition="0">
        <references count="1">
          <reference field="3" count="0"/>
        </references>
      </pivotArea>
    </format>
    <format dxfId="23">
      <pivotArea dataOnly="0" labelOnly="1" grandRow="1" outline="0" fieldPosition="0"/>
    </format>
    <format dxfId="2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38075C-C484-49B7-B2A8-AB3C1CD170D8}" name="PivotTable5" cacheId="4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N22:O29" firstHeaderRow="1" firstDataRow="1" firstDataCol="1"/>
  <pivotFields count="11">
    <pivotField compact="0" outline="0" showAll="0"/>
    <pivotField compact="0" outline="0" showAll="0"/>
    <pivotField compact="0" outline="0" showAll="0"/>
    <pivotField axis="axisRow" compact="0" outline="0" showAll="0">
      <items count="7">
        <item x="1"/>
        <item x="3"/>
        <item x="2"/>
        <item x="0"/>
        <item x="4"/>
        <item x="5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ary" fld="4" baseField="0" baseItem="0"/>
  </dataFields>
  <formats count="6">
    <format dxfId="13">
      <pivotArea type="all" dataOnly="0" outline="0" fieldPosition="0"/>
    </format>
    <format dxfId="14">
      <pivotArea outline="0" collapsedLevelsAreSubtotals="1" fieldPosition="0"/>
    </format>
    <format dxfId="15">
      <pivotArea field="3" type="button" dataOnly="0" labelOnly="1" outline="0" axis="axisRow" fieldPosition="0"/>
    </format>
    <format dxfId="16">
      <pivotArea dataOnly="0" labelOnly="1" outline="0" fieldPosition="0">
        <references count="1">
          <reference field="3" count="0"/>
        </references>
      </pivotArea>
    </format>
    <format dxfId="17">
      <pivotArea dataOnly="0" labelOnly="1" grandRow="1" outline="0" fieldPosition="0"/>
    </format>
    <format dxfId="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1BA8D9-E2CD-4BAF-B3ED-5F4E1A77EAD4}" name="PivotTable4" cacheId="4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Q14:R21" firstHeaderRow="1" firstDataRow="1" firstDataCol="1"/>
  <pivotFields count="11">
    <pivotField compact="0" outline="0" showAll="0"/>
    <pivotField compact="0" outline="0" showAll="0"/>
    <pivotField dataField="1" compact="0" outline="0" showAll="0">
      <items count="42">
        <item x="17"/>
        <item x="22"/>
        <item x="31"/>
        <item x="11"/>
        <item x="12"/>
        <item x="1"/>
        <item x="35"/>
        <item x="13"/>
        <item x="6"/>
        <item x="39"/>
        <item x="2"/>
        <item x="7"/>
        <item x="4"/>
        <item x="5"/>
        <item x="38"/>
        <item x="33"/>
        <item x="15"/>
        <item x="8"/>
        <item x="20"/>
        <item x="34"/>
        <item x="26"/>
        <item x="27"/>
        <item x="24"/>
        <item x="0"/>
        <item x="29"/>
        <item x="18"/>
        <item x="19"/>
        <item x="3"/>
        <item x="28"/>
        <item x="14"/>
        <item x="10"/>
        <item x="32"/>
        <item x="37"/>
        <item x="36"/>
        <item x="23"/>
        <item x="9"/>
        <item x="16"/>
        <item x="21"/>
        <item x="30"/>
        <item x="25"/>
        <item x="4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Name" fld="2" subtotal="count" baseField="0" baseItem="0"/>
  </dataFields>
  <formats count="6">
    <format dxfId="7">
      <pivotArea type="all" dataOnly="0" outline="0" fieldPosition="0"/>
    </format>
    <format dxfId="8">
      <pivotArea outline="0" collapsedLevelsAreSubtotals="1" fieldPosition="0"/>
    </format>
    <format dxfId="9">
      <pivotArea field="7" type="button" dataOnly="0" labelOnly="1" outline="0" axis="axisRow" fieldPosition="0"/>
    </format>
    <format dxfId="10">
      <pivotArea dataOnly="0" labelOnly="1" outline="0" fieldPosition="0">
        <references count="1">
          <reference field="7" count="0"/>
        </references>
      </pivotArea>
    </format>
    <format dxfId="11">
      <pivotArea dataOnly="0" labelOnly="1" grandRow="1" outline="0" fieldPosition="0"/>
    </format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AC4254-E9DB-4A00-99F4-1B24D269B02E}" name="Table1" displayName="Table1" ref="A3:K54" totalsRowShown="0">
  <autoFilter ref="A3:K54" xr:uid="{C3AC4254-E9DB-4A00-99F4-1B24D269B02E}"/>
  <tableColumns count="11">
    <tableColumn id="1" xr3:uid="{25997AFB-B5E6-46F9-A736-B738788C45EC}" name="Branch"/>
    <tableColumn id="2" xr3:uid="{EAE6F0F7-D764-4890-8C02-48B02291D72D}" name="Employee ID"/>
    <tableColumn id="3" xr3:uid="{0EEE847F-000E-4025-B3AA-88E8D61BFC03}" name="Name"/>
    <tableColumn id="4" xr3:uid="{7A536C0A-17B5-46EF-A307-E44760E6CA94}" name="Department"/>
    <tableColumn id="5" xr3:uid="{C427A182-1828-4C96-952B-07FE7BBD7700}" name="Salary"/>
    <tableColumn id="6" xr3:uid="{2CD38EFB-2064-4AB9-B24C-59657F8B0AAF}" name="Age"/>
    <tableColumn id="7" xr3:uid="{02EE9D62-4DB0-4709-A10F-D4308483288B}" name="Experience (Years)"/>
    <tableColumn id="8" xr3:uid="{EB491736-7C28-4543-AA62-903921C3628C}" name="Location"/>
    <tableColumn id="9" xr3:uid="{623266C6-162A-4E41-BEA3-639CFF7C372C}" name="Email"/>
    <tableColumn id="10" xr3:uid="{9B2BD9F9-4408-4855-A1FF-BF81ACE8971C}" name="Phone Number"/>
    <tableColumn id="11" xr3:uid="{9A789972-6563-44ED-87FC-F888D323B4C1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workbookViewId="0">
      <selection activeCell="Q25" sqref="Q25"/>
    </sheetView>
  </sheetViews>
  <sheetFormatPr defaultRowHeight="14.45"/>
  <cols>
    <col min="1" max="1" width="17.28515625" customWidth="1"/>
    <col min="10" max="10" width="19.85546875" customWidth="1"/>
  </cols>
  <sheetData>
    <row r="1" spans="1:11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</row>
    <row r="2" spans="1:11">
      <c r="A2" s="16" t="s">
        <v>11</v>
      </c>
      <c r="B2" s="16" t="s">
        <v>12</v>
      </c>
      <c r="C2" s="16" t="s">
        <v>13</v>
      </c>
      <c r="D2" s="16" t="s">
        <v>14</v>
      </c>
      <c r="E2" s="16">
        <v>50100</v>
      </c>
      <c r="F2" s="16">
        <v>26</v>
      </c>
      <c r="G2" s="16">
        <v>2</v>
      </c>
      <c r="H2" s="16" t="s">
        <v>15</v>
      </c>
      <c r="I2" s="16" t="s">
        <v>16</v>
      </c>
      <c r="J2" s="16" t="s">
        <v>17</v>
      </c>
      <c r="K2" s="16" t="s">
        <v>18</v>
      </c>
    </row>
    <row r="3" spans="1:11">
      <c r="A3" s="16" t="s">
        <v>19</v>
      </c>
      <c r="B3" s="16" t="s">
        <v>20</v>
      </c>
      <c r="C3" s="16" t="s">
        <v>21</v>
      </c>
      <c r="D3" s="16" t="s">
        <v>22</v>
      </c>
      <c r="E3" s="16">
        <v>50200</v>
      </c>
      <c r="F3" s="16">
        <v>27</v>
      </c>
      <c r="G3" s="16">
        <v>3</v>
      </c>
      <c r="H3" s="16" t="s">
        <v>23</v>
      </c>
      <c r="I3" s="16" t="s">
        <v>24</v>
      </c>
      <c r="J3" s="16" t="s">
        <v>25</v>
      </c>
      <c r="K3" s="16" t="s">
        <v>26</v>
      </c>
    </row>
    <row r="4" spans="1:11">
      <c r="A4" s="16" t="s">
        <v>27</v>
      </c>
      <c r="B4" s="16" t="s">
        <v>28</v>
      </c>
      <c r="C4" s="16" t="s">
        <v>29</v>
      </c>
      <c r="D4" s="16" t="s">
        <v>30</v>
      </c>
      <c r="E4" s="16">
        <v>50300</v>
      </c>
      <c r="F4" s="16">
        <v>28</v>
      </c>
      <c r="G4" s="16">
        <v>4</v>
      </c>
      <c r="H4" s="16" t="s">
        <v>31</v>
      </c>
      <c r="I4" s="16" t="s">
        <v>32</v>
      </c>
      <c r="J4" s="16" t="s">
        <v>33</v>
      </c>
      <c r="K4" s="16" t="s">
        <v>18</v>
      </c>
    </row>
    <row r="5" spans="1:11">
      <c r="A5" s="16" t="s">
        <v>34</v>
      </c>
      <c r="B5" s="16" t="s">
        <v>35</v>
      </c>
      <c r="C5" s="16" t="s">
        <v>36</v>
      </c>
      <c r="D5" s="16" t="s">
        <v>37</v>
      </c>
      <c r="E5" s="16">
        <v>50300</v>
      </c>
      <c r="F5" s="16">
        <v>29</v>
      </c>
      <c r="G5" s="16">
        <v>5</v>
      </c>
      <c r="H5" s="16" t="s">
        <v>38</v>
      </c>
      <c r="I5" s="16" t="s">
        <v>39</v>
      </c>
      <c r="J5" s="16" t="s">
        <v>40</v>
      </c>
      <c r="K5" s="16" t="s">
        <v>26</v>
      </c>
    </row>
    <row r="6" spans="1:11">
      <c r="A6" s="16" t="s">
        <v>41</v>
      </c>
      <c r="B6" s="16" t="s">
        <v>42</v>
      </c>
      <c r="C6" s="16" t="s">
        <v>43</v>
      </c>
      <c r="D6" s="16" t="s">
        <v>44</v>
      </c>
      <c r="E6" s="16">
        <v>50300</v>
      </c>
      <c r="F6" s="16">
        <v>30</v>
      </c>
      <c r="G6" s="16">
        <v>6</v>
      </c>
      <c r="H6" s="16" t="s">
        <v>45</v>
      </c>
      <c r="I6" s="16" t="s">
        <v>46</v>
      </c>
      <c r="J6" s="16" t="s">
        <v>47</v>
      </c>
      <c r="K6" s="16" t="s">
        <v>18</v>
      </c>
    </row>
    <row r="7" spans="1:11">
      <c r="A7" s="16" t="s">
        <v>48</v>
      </c>
      <c r="B7" s="16" t="s">
        <v>49</v>
      </c>
      <c r="C7" s="16" t="s">
        <v>50</v>
      </c>
      <c r="D7" s="16" t="s">
        <v>14</v>
      </c>
      <c r="E7" s="16">
        <v>50300</v>
      </c>
      <c r="F7" s="16">
        <v>31</v>
      </c>
      <c r="G7" s="16">
        <v>7</v>
      </c>
      <c r="H7" s="16" t="s">
        <v>15</v>
      </c>
      <c r="I7" s="16" t="s">
        <v>51</v>
      </c>
      <c r="J7" s="16" t="s">
        <v>52</v>
      </c>
      <c r="K7" s="16" t="s">
        <v>26</v>
      </c>
    </row>
    <row r="8" spans="1:11">
      <c r="A8" s="16" t="s">
        <v>53</v>
      </c>
      <c r="B8" s="16" t="s">
        <v>54</v>
      </c>
      <c r="C8" s="16" t="s">
        <v>55</v>
      </c>
      <c r="D8" s="16" t="s">
        <v>22</v>
      </c>
      <c r="E8" s="16">
        <v>50300</v>
      </c>
      <c r="F8" s="16">
        <v>32</v>
      </c>
      <c r="G8" s="16">
        <v>8</v>
      </c>
      <c r="H8" s="16" t="s">
        <v>23</v>
      </c>
      <c r="I8" s="16" t="s">
        <v>56</v>
      </c>
      <c r="J8" s="16" t="s">
        <v>57</v>
      </c>
      <c r="K8" s="16" t="s">
        <v>18</v>
      </c>
    </row>
    <row r="9" spans="1:11">
      <c r="A9" s="16" t="s">
        <v>58</v>
      </c>
      <c r="B9" s="16" t="s">
        <v>59</v>
      </c>
      <c r="C9" s="16" t="s">
        <v>60</v>
      </c>
      <c r="D9" s="16" t="s">
        <v>30</v>
      </c>
      <c r="E9" s="16">
        <v>50300</v>
      </c>
      <c r="F9" s="16">
        <v>33</v>
      </c>
      <c r="G9" s="16">
        <v>9</v>
      </c>
      <c r="H9" s="16" t="s">
        <v>31</v>
      </c>
      <c r="I9" s="16" t="s">
        <v>61</v>
      </c>
      <c r="J9" s="16" t="s">
        <v>62</v>
      </c>
      <c r="K9" s="16" t="s">
        <v>26</v>
      </c>
    </row>
    <row r="10" spans="1:11">
      <c r="A10" s="16" t="s">
        <v>63</v>
      </c>
      <c r="B10" s="16" t="s">
        <v>64</v>
      </c>
      <c r="C10" s="16" t="s">
        <v>65</v>
      </c>
      <c r="D10" s="16" t="s">
        <v>37</v>
      </c>
      <c r="E10" s="16">
        <v>50300</v>
      </c>
      <c r="F10" s="16">
        <v>34</v>
      </c>
      <c r="G10" s="16">
        <v>10</v>
      </c>
      <c r="H10" s="16" t="s">
        <v>38</v>
      </c>
      <c r="I10" s="16" t="s">
        <v>66</v>
      </c>
      <c r="J10" s="16" t="s">
        <v>67</v>
      </c>
      <c r="K10" s="16" t="s">
        <v>18</v>
      </c>
    </row>
    <row r="11" spans="1:11">
      <c r="A11" s="16" t="s">
        <v>68</v>
      </c>
      <c r="B11" s="16" t="s">
        <v>69</v>
      </c>
      <c r="C11" s="16" t="s">
        <v>70</v>
      </c>
      <c r="D11" s="16" t="s">
        <v>44</v>
      </c>
      <c r="E11" s="16">
        <v>50300</v>
      </c>
      <c r="F11" s="16">
        <v>25</v>
      </c>
      <c r="G11" s="16">
        <v>11</v>
      </c>
      <c r="H11" s="16" t="s">
        <v>45</v>
      </c>
      <c r="I11" s="16" t="s">
        <v>71</v>
      </c>
      <c r="J11" s="16" t="s">
        <v>72</v>
      </c>
      <c r="K11" s="16" t="s">
        <v>26</v>
      </c>
    </row>
    <row r="12" spans="1:11">
      <c r="A12" s="16" t="s">
        <v>11</v>
      </c>
      <c r="B12" s="16" t="s">
        <v>73</v>
      </c>
      <c r="C12" s="16" t="s">
        <v>74</v>
      </c>
      <c r="D12" s="16" t="s">
        <v>14</v>
      </c>
      <c r="E12" s="16">
        <v>51100</v>
      </c>
      <c r="F12" s="16">
        <v>26</v>
      </c>
      <c r="G12" s="16">
        <v>12</v>
      </c>
      <c r="H12" s="16" t="s">
        <v>15</v>
      </c>
      <c r="I12" s="16" t="s">
        <v>75</v>
      </c>
      <c r="J12" s="16" t="s">
        <v>76</v>
      </c>
      <c r="K12" s="16" t="s">
        <v>18</v>
      </c>
    </row>
    <row r="13" spans="1:11">
      <c r="A13" s="16" t="s">
        <v>19</v>
      </c>
      <c r="B13" s="16" t="s">
        <v>77</v>
      </c>
      <c r="C13" s="16" t="s">
        <v>78</v>
      </c>
      <c r="D13" s="16" t="s">
        <v>22</v>
      </c>
      <c r="E13" s="16">
        <v>51200</v>
      </c>
      <c r="F13" s="16">
        <v>27</v>
      </c>
      <c r="G13" s="16">
        <v>13</v>
      </c>
      <c r="H13" s="16" t="s">
        <v>23</v>
      </c>
      <c r="I13" s="16" t="s">
        <v>79</v>
      </c>
      <c r="J13" s="16" t="s">
        <v>80</v>
      </c>
      <c r="K13" s="16" t="s">
        <v>26</v>
      </c>
    </row>
    <row r="14" spans="1:11">
      <c r="A14" s="16" t="s">
        <v>27</v>
      </c>
      <c r="B14" s="16" t="s">
        <v>81</v>
      </c>
      <c r="C14" s="16" t="s">
        <v>82</v>
      </c>
      <c r="D14" s="16" t="s">
        <v>30</v>
      </c>
      <c r="E14" s="16">
        <v>51300</v>
      </c>
      <c r="F14" s="16">
        <v>28</v>
      </c>
      <c r="G14" s="16">
        <v>14</v>
      </c>
      <c r="H14" s="16" t="s">
        <v>31</v>
      </c>
      <c r="I14" s="16" t="s">
        <v>83</v>
      </c>
      <c r="J14" s="16" t="s">
        <v>84</v>
      </c>
      <c r="K14" s="16" t="s">
        <v>18</v>
      </c>
    </row>
    <row r="15" spans="1:11">
      <c r="A15" s="16" t="s">
        <v>34</v>
      </c>
      <c r="B15" s="16" t="s">
        <v>85</v>
      </c>
      <c r="C15" s="16" t="s">
        <v>86</v>
      </c>
      <c r="D15" s="16" t="s">
        <v>37</v>
      </c>
      <c r="E15" s="16">
        <v>51400</v>
      </c>
      <c r="F15" s="16">
        <v>29</v>
      </c>
      <c r="G15" s="16">
        <v>15</v>
      </c>
      <c r="H15" s="16" t="s">
        <v>38</v>
      </c>
      <c r="I15" s="16" t="s">
        <v>87</v>
      </c>
      <c r="J15" s="16" t="s">
        <v>88</v>
      </c>
      <c r="K15" s="16" t="s">
        <v>26</v>
      </c>
    </row>
    <row r="16" spans="1:11">
      <c r="A16" s="16" t="s">
        <v>41</v>
      </c>
      <c r="B16" s="16" t="s">
        <v>89</v>
      </c>
      <c r="C16" s="16" t="s">
        <v>90</v>
      </c>
      <c r="D16" s="16" t="s">
        <v>44</v>
      </c>
      <c r="E16" s="16">
        <v>51500</v>
      </c>
      <c r="F16" s="16">
        <v>30</v>
      </c>
      <c r="G16" s="16">
        <v>1</v>
      </c>
      <c r="H16" s="16" t="s">
        <v>45</v>
      </c>
      <c r="I16" s="16" t="s">
        <v>91</v>
      </c>
      <c r="J16" s="16" t="s">
        <v>92</v>
      </c>
      <c r="K16" s="16" t="s">
        <v>18</v>
      </c>
    </row>
    <row r="17" spans="1:11">
      <c r="A17" s="16" t="s">
        <v>48</v>
      </c>
      <c r="B17" s="16" t="s">
        <v>93</v>
      </c>
      <c r="C17" s="16" t="s">
        <v>94</v>
      </c>
      <c r="D17" s="16" t="s">
        <v>14</v>
      </c>
      <c r="E17" s="16">
        <v>51600</v>
      </c>
      <c r="F17" s="16">
        <v>31</v>
      </c>
      <c r="G17" s="16">
        <v>2</v>
      </c>
      <c r="H17" s="16" t="s">
        <v>15</v>
      </c>
      <c r="I17" s="16" t="s">
        <v>95</v>
      </c>
      <c r="J17" s="16" t="s">
        <v>96</v>
      </c>
      <c r="K17" s="16" t="s">
        <v>26</v>
      </c>
    </row>
    <row r="18" spans="1:11">
      <c r="A18" s="16" t="s">
        <v>53</v>
      </c>
      <c r="B18" s="16" t="s">
        <v>97</v>
      </c>
      <c r="C18" s="16" t="s">
        <v>98</v>
      </c>
      <c r="D18" s="16" t="s">
        <v>22</v>
      </c>
      <c r="E18" s="16">
        <v>51700</v>
      </c>
      <c r="F18" s="16">
        <v>32</v>
      </c>
      <c r="G18" s="16">
        <v>3</v>
      </c>
      <c r="H18" s="16" t="s">
        <v>23</v>
      </c>
      <c r="I18" s="16" t="s">
        <v>99</v>
      </c>
      <c r="J18" s="16" t="s">
        <v>100</v>
      </c>
      <c r="K18" s="16" t="s">
        <v>18</v>
      </c>
    </row>
    <row r="19" spans="1:11">
      <c r="A19" s="16" t="s">
        <v>58</v>
      </c>
      <c r="B19" s="16" t="s">
        <v>101</v>
      </c>
      <c r="C19" s="16" t="s">
        <v>102</v>
      </c>
      <c r="D19" s="16" t="s">
        <v>30</v>
      </c>
      <c r="E19" s="16">
        <v>51800</v>
      </c>
      <c r="F19" s="16">
        <v>33</v>
      </c>
      <c r="G19" s="16">
        <v>4</v>
      </c>
      <c r="H19" s="16" t="s">
        <v>31</v>
      </c>
      <c r="I19" s="16" t="s">
        <v>103</v>
      </c>
      <c r="J19" s="16" t="s">
        <v>104</v>
      </c>
      <c r="K19" s="16" t="s">
        <v>26</v>
      </c>
    </row>
    <row r="20" spans="1:11">
      <c r="A20" s="16" t="s">
        <v>63</v>
      </c>
      <c r="B20" s="16" t="s">
        <v>105</v>
      </c>
      <c r="C20" s="16" t="s">
        <v>106</v>
      </c>
      <c r="D20" s="16" t="s">
        <v>37</v>
      </c>
      <c r="E20" s="16">
        <v>51900</v>
      </c>
      <c r="F20" s="16">
        <v>34</v>
      </c>
      <c r="G20" s="16">
        <v>5</v>
      </c>
      <c r="H20" s="16" t="s">
        <v>38</v>
      </c>
      <c r="I20" s="16" t="s">
        <v>107</v>
      </c>
      <c r="J20" s="16" t="s">
        <v>108</v>
      </c>
      <c r="K20" s="16" t="s">
        <v>18</v>
      </c>
    </row>
    <row r="21" spans="1:11">
      <c r="A21" s="16" t="s">
        <v>68</v>
      </c>
      <c r="B21" s="16" t="s">
        <v>109</v>
      </c>
      <c r="C21" s="16" t="s">
        <v>110</v>
      </c>
      <c r="D21" s="16" t="s">
        <v>44</v>
      </c>
      <c r="E21" s="16">
        <v>52000</v>
      </c>
      <c r="F21" s="16">
        <v>25</v>
      </c>
      <c r="G21" s="16">
        <v>6</v>
      </c>
      <c r="H21" s="16" t="s">
        <v>45</v>
      </c>
      <c r="I21" s="16" t="s">
        <v>111</v>
      </c>
      <c r="J21" s="16" t="s">
        <v>112</v>
      </c>
      <c r="K21" s="16" t="s">
        <v>26</v>
      </c>
    </row>
    <row r="22" spans="1:11">
      <c r="A22" s="16" t="s">
        <v>11</v>
      </c>
      <c r="B22" s="16" t="s">
        <v>113</v>
      </c>
      <c r="C22" s="16" t="s">
        <v>114</v>
      </c>
      <c r="D22" s="16" t="s">
        <v>14</v>
      </c>
      <c r="E22" s="16">
        <v>52100</v>
      </c>
      <c r="F22" s="16">
        <v>26</v>
      </c>
      <c r="G22" s="16">
        <v>7</v>
      </c>
      <c r="H22" s="16" t="s">
        <v>15</v>
      </c>
      <c r="I22" s="16" t="s">
        <v>115</v>
      </c>
      <c r="J22" s="16" t="s">
        <v>116</v>
      </c>
      <c r="K22" s="16" t="s">
        <v>18</v>
      </c>
    </row>
    <row r="23" spans="1:11">
      <c r="A23" s="16" t="s">
        <v>19</v>
      </c>
      <c r="B23" s="16" t="s">
        <v>117</v>
      </c>
      <c r="C23" s="16" t="s">
        <v>118</v>
      </c>
      <c r="D23" s="16" t="s">
        <v>22</v>
      </c>
      <c r="E23" s="16">
        <v>52200</v>
      </c>
      <c r="F23" s="16">
        <v>27</v>
      </c>
      <c r="G23" s="16">
        <v>8</v>
      </c>
      <c r="H23" s="16" t="s">
        <v>23</v>
      </c>
      <c r="I23" s="16" t="s">
        <v>119</v>
      </c>
      <c r="J23" s="16" t="s">
        <v>120</v>
      </c>
      <c r="K23" s="16" t="s">
        <v>26</v>
      </c>
    </row>
    <row r="24" spans="1:11">
      <c r="A24" s="16" t="s">
        <v>27</v>
      </c>
      <c r="B24" s="16" t="s">
        <v>121</v>
      </c>
      <c r="C24" s="16" t="s">
        <v>122</v>
      </c>
      <c r="D24" s="16" t="s">
        <v>30</v>
      </c>
      <c r="E24" s="16">
        <v>52300</v>
      </c>
      <c r="F24" s="16">
        <v>28</v>
      </c>
      <c r="G24" s="16">
        <v>9</v>
      </c>
      <c r="H24" s="16" t="s">
        <v>31</v>
      </c>
      <c r="I24" s="16" t="s">
        <v>123</v>
      </c>
      <c r="J24" s="16" t="s">
        <v>124</v>
      </c>
      <c r="K24" s="16" t="s">
        <v>18</v>
      </c>
    </row>
    <row r="25" spans="1:11">
      <c r="A25" s="16" t="s">
        <v>34</v>
      </c>
      <c r="B25" s="16" t="s">
        <v>125</v>
      </c>
      <c r="C25" s="16" t="s">
        <v>126</v>
      </c>
      <c r="D25" s="16" t="s">
        <v>37</v>
      </c>
      <c r="E25" s="16">
        <v>52400</v>
      </c>
      <c r="F25" s="16">
        <v>29</v>
      </c>
      <c r="G25" s="16">
        <v>10</v>
      </c>
      <c r="H25" s="16" t="s">
        <v>38</v>
      </c>
      <c r="I25" s="16" t="s">
        <v>127</v>
      </c>
      <c r="J25" s="16" t="s">
        <v>128</v>
      </c>
      <c r="K25" s="16" t="s">
        <v>26</v>
      </c>
    </row>
    <row r="26" spans="1:11">
      <c r="A26" s="16" t="s">
        <v>41</v>
      </c>
      <c r="B26" s="16" t="s">
        <v>129</v>
      </c>
      <c r="C26" s="16" t="s">
        <v>130</v>
      </c>
      <c r="D26" s="16" t="s">
        <v>44</v>
      </c>
      <c r="E26" s="16">
        <v>52500</v>
      </c>
      <c r="F26" s="16">
        <v>30</v>
      </c>
      <c r="G26" s="16">
        <v>11</v>
      </c>
      <c r="H26" s="16" t="s">
        <v>45</v>
      </c>
      <c r="I26" s="16" t="s">
        <v>131</v>
      </c>
      <c r="J26" s="16" t="s">
        <v>132</v>
      </c>
      <c r="K26" s="16" t="s">
        <v>18</v>
      </c>
    </row>
    <row r="27" spans="1:11">
      <c r="A27" s="16" t="s">
        <v>48</v>
      </c>
      <c r="B27" s="16" t="s">
        <v>133</v>
      </c>
      <c r="C27" s="16" t="s">
        <v>134</v>
      </c>
      <c r="D27" s="16" t="s">
        <v>14</v>
      </c>
      <c r="E27" s="16">
        <v>52600</v>
      </c>
      <c r="F27" s="16">
        <v>31</v>
      </c>
      <c r="G27" s="16">
        <v>12</v>
      </c>
      <c r="H27" s="16" t="s">
        <v>15</v>
      </c>
      <c r="I27" s="16" t="s">
        <v>135</v>
      </c>
      <c r="J27" s="16" t="s">
        <v>136</v>
      </c>
      <c r="K27" s="16" t="s">
        <v>26</v>
      </c>
    </row>
    <row r="28" spans="1:11">
      <c r="A28" s="16" t="s">
        <v>53</v>
      </c>
      <c r="B28" s="16" t="s">
        <v>137</v>
      </c>
      <c r="C28" s="16" t="s">
        <v>138</v>
      </c>
      <c r="D28" s="16" t="s">
        <v>22</v>
      </c>
      <c r="E28" s="16">
        <v>52700</v>
      </c>
      <c r="F28" s="16">
        <v>32</v>
      </c>
      <c r="G28" s="16">
        <v>13</v>
      </c>
      <c r="H28" s="16" t="s">
        <v>23</v>
      </c>
      <c r="I28" s="16" t="s">
        <v>139</v>
      </c>
      <c r="J28" s="16" t="s">
        <v>140</v>
      </c>
      <c r="K28" s="16" t="s">
        <v>18</v>
      </c>
    </row>
    <row r="29" spans="1:11">
      <c r="A29" s="16" t="s">
        <v>58</v>
      </c>
      <c r="B29" s="16" t="s">
        <v>141</v>
      </c>
      <c r="C29" s="16" t="s">
        <v>142</v>
      </c>
      <c r="D29" s="16" t="s">
        <v>30</v>
      </c>
      <c r="E29" s="16">
        <v>52800</v>
      </c>
      <c r="F29" s="16">
        <v>33</v>
      </c>
      <c r="G29" s="16">
        <v>14</v>
      </c>
      <c r="H29" s="16" t="s">
        <v>31</v>
      </c>
      <c r="I29" s="16" t="s">
        <v>143</v>
      </c>
      <c r="J29" s="16" t="s">
        <v>144</v>
      </c>
      <c r="K29" s="16" t="s">
        <v>26</v>
      </c>
    </row>
    <row r="30" spans="1:11">
      <c r="A30" s="16" t="s">
        <v>63</v>
      </c>
      <c r="B30" s="16" t="s">
        <v>145</v>
      </c>
      <c r="C30" s="16" t="s">
        <v>146</v>
      </c>
      <c r="D30" s="16" t="s">
        <v>37</v>
      </c>
      <c r="E30" s="16">
        <v>52900</v>
      </c>
      <c r="F30" s="16">
        <v>34</v>
      </c>
      <c r="G30" s="16">
        <v>15</v>
      </c>
      <c r="H30" s="16" t="s">
        <v>38</v>
      </c>
      <c r="I30" s="16" t="s">
        <v>147</v>
      </c>
      <c r="J30" s="16" t="s">
        <v>148</v>
      </c>
      <c r="K30" s="16" t="s">
        <v>18</v>
      </c>
    </row>
    <row r="31" spans="1:11">
      <c r="A31" s="16" t="s">
        <v>68</v>
      </c>
      <c r="B31" s="16" t="s">
        <v>149</v>
      </c>
      <c r="C31" s="16" t="s">
        <v>150</v>
      </c>
      <c r="D31" s="16" t="s">
        <v>44</v>
      </c>
      <c r="E31" s="16">
        <v>53000</v>
      </c>
      <c r="F31" s="16">
        <v>25</v>
      </c>
      <c r="G31" s="16">
        <v>1</v>
      </c>
      <c r="H31" s="16" t="s">
        <v>45</v>
      </c>
      <c r="I31" s="16" t="s">
        <v>151</v>
      </c>
      <c r="J31" s="16" t="s">
        <v>152</v>
      </c>
      <c r="K31" s="16" t="s">
        <v>26</v>
      </c>
    </row>
    <row r="32" spans="1:11">
      <c r="A32" s="16" t="s">
        <v>11</v>
      </c>
      <c r="B32" s="16" t="s">
        <v>153</v>
      </c>
      <c r="C32" s="16" t="s">
        <v>154</v>
      </c>
      <c r="D32" s="16" t="s">
        <v>14</v>
      </c>
      <c r="E32" s="16">
        <v>53100</v>
      </c>
      <c r="F32" s="16">
        <v>26</v>
      </c>
      <c r="G32" s="16">
        <v>2</v>
      </c>
      <c r="H32" s="16" t="s">
        <v>15</v>
      </c>
      <c r="I32" s="16" t="s">
        <v>155</v>
      </c>
      <c r="J32" s="16" t="s">
        <v>156</v>
      </c>
      <c r="K32" s="16" t="s">
        <v>18</v>
      </c>
    </row>
    <row r="33" spans="1:11">
      <c r="A33" s="16" t="s">
        <v>19</v>
      </c>
      <c r="B33" s="16" t="s">
        <v>157</v>
      </c>
      <c r="C33" s="16" t="s">
        <v>158</v>
      </c>
      <c r="D33" s="16" t="s">
        <v>22</v>
      </c>
      <c r="E33" s="16">
        <v>53200</v>
      </c>
      <c r="F33" s="16">
        <v>27</v>
      </c>
      <c r="G33" s="16">
        <v>3</v>
      </c>
      <c r="H33" s="16" t="s">
        <v>23</v>
      </c>
      <c r="I33" s="16" t="s">
        <v>159</v>
      </c>
      <c r="J33" s="16" t="s">
        <v>160</v>
      </c>
      <c r="K33" s="16" t="s">
        <v>26</v>
      </c>
    </row>
    <row r="34" spans="1:11">
      <c r="A34" s="16" t="s">
        <v>27</v>
      </c>
      <c r="B34" s="16" t="s">
        <v>161</v>
      </c>
      <c r="C34" s="16" t="s">
        <v>162</v>
      </c>
      <c r="D34" s="16" t="s">
        <v>30</v>
      </c>
      <c r="E34" s="16">
        <v>53300</v>
      </c>
      <c r="F34" s="16">
        <v>28</v>
      </c>
      <c r="G34" s="16">
        <v>4</v>
      </c>
      <c r="H34" s="16" t="s">
        <v>31</v>
      </c>
      <c r="I34" s="16" t="s">
        <v>163</v>
      </c>
      <c r="J34" s="16" t="s">
        <v>164</v>
      </c>
      <c r="K34" s="16" t="s">
        <v>18</v>
      </c>
    </row>
    <row r="35" spans="1:11">
      <c r="A35" s="16" t="s">
        <v>34</v>
      </c>
      <c r="B35" s="16" t="s">
        <v>165</v>
      </c>
      <c r="C35" s="16" t="s">
        <v>106</v>
      </c>
      <c r="D35" s="16" t="s">
        <v>37</v>
      </c>
      <c r="E35" s="16">
        <v>53400</v>
      </c>
      <c r="F35" s="16">
        <v>29</v>
      </c>
      <c r="G35" s="16">
        <v>5</v>
      </c>
      <c r="H35" s="16" t="s">
        <v>38</v>
      </c>
      <c r="I35" s="16" t="s">
        <v>166</v>
      </c>
      <c r="J35" s="16" t="s">
        <v>167</v>
      </c>
      <c r="K35" s="16" t="s">
        <v>26</v>
      </c>
    </row>
    <row r="36" spans="1:11">
      <c r="A36" s="16" t="s">
        <v>41</v>
      </c>
      <c r="B36" s="16" t="s">
        <v>168</v>
      </c>
      <c r="C36" s="16" t="s">
        <v>94</v>
      </c>
      <c r="D36" s="16" t="s">
        <v>44</v>
      </c>
      <c r="E36" s="16">
        <v>53500</v>
      </c>
      <c r="F36" s="16">
        <v>30</v>
      </c>
      <c r="G36" s="16">
        <v>6</v>
      </c>
      <c r="H36" s="16" t="s">
        <v>45</v>
      </c>
      <c r="I36" s="16" t="s">
        <v>169</v>
      </c>
      <c r="J36" s="16" t="s">
        <v>170</v>
      </c>
      <c r="K36" s="16" t="s">
        <v>18</v>
      </c>
    </row>
    <row r="37" spans="1:11">
      <c r="A37" s="16" t="s">
        <v>48</v>
      </c>
      <c r="B37" s="16" t="s">
        <v>171</v>
      </c>
      <c r="C37" s="16" t="s">
        <v>134</v>
      </c>
      <c r="D37" s="16" t="s">
        <v>14</v>
      </c>
      <c r="E37" s="16">
        <v>53600</v>
      </c>
      <c r="F37" s="16">
        <v>31</v>
      </c>
      <c r="G37" s="16">
        <v>7</v>
      </c>
      <c r="H37" s="16" t="s">
        <v>15</v>
      </c>
      <c r="I37" s="16" t="s">
        <v>172</v>
      </c>
      <c r="J37" s="16" t="s">
        <v>173</v>
      </c>
      <c r="K37" s="16" t="s">
        <v>26</v>
      </c>
    </row>
    <row r="38" spans="1:11">
      <c r="A38" s="16" t="s">
        <v>53</v>
      </c>
      <c r="B38" s="16" t="s">
        <v>174</v>
      </c>
      <c r="C38" s="16" t="s">
        <v>134</v>
      </c>
      <c r="D38" s="16" t="s">
        <v>22</v>
      </c>
      <c r="E38" s="16">
        <v>53700</v>
      </c>
      <c r="F38" s="16">
        <v>32</v>
      </c>
      <c r="G38" s="16">
        <v>8</v>
      </c>
      <c r="H38" s="16" t="s">
        <v>23</v>
      </c>
      <c r="I38" s="16" t="s">
        <v>175</v>
      </c>
      <c r="J38" s="16" t="s">
        <v>176</v>
      </c>
      <c r="K38" s="16" t="s">
        <v>18</v>
      </c>
    </row>
    <row r="39" spans="1:11">
      <c r="A39" s="16" t="s">
        <v>58</v>
      </c>
      <c r="B39" s="16" t="s">
        <v>177</v>
      </c>
      <c r="C39" s="16" t="s">
        <v>178</v>
      </c>
      <c r="D39" s="16" t="s">
        <v>30</v>
      </c>
      <c r="E39" s="16">
        <v>53800</v>
      </c>
      <c r="F39" s="16">
        <v>33</v>
      </c>
      <c r="G39" s="16">
        <v>9</v>
      </c>
      <c r="H39" s="16" t="s">
        <v>31</v>
      </c>
      <c r="I39" s="16" t="s">
        <v>179</v>
      </c>
      <c r="J39" s="16" t="s">
        <v>180</v>
      </c>
      <c r="K39" s="16" t="s">
        <v>26</v>
      </c>
    </row>
    <row r="40" spans="1:11">
      <c r="A40" s="16" t="s">
        <v>63</v>
      </c>
      <c r="B40" s="16" t="s">
        <v>181</v>
      </c>
      <c r="C40" s="16" t="s">
        <v>118</v>
      </c>
      <c r="D40" s="16" t="s">
        <v>37</v>
      </c>
      <c r="E40" s="16">
        <v>53900</v>
      </c>
      <c r="F40" s="16">
        <v>34</v>
      </c>
      <c r="G40" s="16">
        <v>10</v>
      </c>
      <c r="H40" s="16" t="s">
        <v>38</v>
      </c>
      <c r="I40" s="16" t="s">
        <v>182</v>
      </c>
      <c r="J40" s="16" t="s">
        <v>183</v>
      </c>
      <c r="K40" s="16" t="s">
        <v>18</v>
      </c>
    </row>
    <row r="41" spans="1:11">
      <c r="A41" s="16" t="s">
        <v>68</v>
      </c>
      <c r="B41" s="16" t="s">
        <v>184</v>
      </c>
      <c r="C41" s="16" t="s">
        <v>185</v>
      </c>
      <c r="D41" s="16" t="s">
        <v>44</v>
      </c>
      <c r="E41" s="16">
        <v>54000</v>
      </c>
      <c r="F41" s="16">
        <v>25</v>
      </c>
      <c r="G41" s="16">
        <v>11</v>
      </c>
      <c r="H41" s="16" t="s">
        <v>45</v>
      </c>
      <c r="I41" s="16" t="s">
        <v>186</v>
      </c>
      <c r="J41" s="16" t="s">
        <v>187</v>
      </c>
      <c r="K41" s="16" t="s">
        <v>26</v>
      </c>
    </row>
    <row r="42" spans="1:11">
      <c r="A42" s="16" t="s">
        <v>11</v>
      </c>
      <c r="B42" s="16" t="s">
        <v>188</v>
      </c>
      <c r="C42" s="16" t="s">
        <v>189</v>
      </c>
      <c r="D42" s="16" t="s">
        <v>14</v>
      </c>
      <c r="E42" s="16">
        <v>54100</v>
      </c>
      <c r="F42" s="16">
        <v>26</v>
      </c>
      <c r="G42" s="16">
        <v>12</v>
      </c>
      <c r="H42" s="16" t="s">
        <v>15</v>
      </c>
      <c r="I42" s="16" t="s">
        <v>190</v>
      </c>
      <c r="J42" s="16" t="s">
        <v>191</v>
      </c>
      <c r="K42" s="16" t="s">
        <v>18</v>
      </c>
    </row>
    <row r="43" spans="1:11">
      <c r="A43" s="16" t="s">
        <v>19</v>
      </c>
      <c r="B43" s="16" t="s">
        <v>192</v>
      </c>
      <c r="C43" s="16" t="s">
        <v>193</v>
      </c>
      <c r="D43" s="16" t="s">
        <v>22</v>
      </c>
      <c r="E43" s="16">
        <v>54200</v>
      </c>
      <c r="F43" s="16">
        <v>27</v>
      </c>
      <c r="G43" s="16">
        <v>13</v>
      </c>
      <c r="H43" s="16" t="s">
        <v>23</v>
      </c>
      <c r="I43" s="16" t="s">
        <v>194</v>
      </c>
      <c r="J43" s="16" t="s">
        <v>195</v>
      </c>
      <c r="K43" s="16" t="s">
        <v>26</v>
      </c>
    </row>
    <row r="44" spans="1:11">
      <c r="A44" s="16" t="s">
        <v>27</v>
      </c>
      <c r="B44" s="16" t="s">
        <v>196</v>
      </c>
      <c r="C44" s="16" t="s">
        <v>146</v>
      </c>
      <c r="D44" s="16" t="s">
        <v>30</v>
      </c>
      <c r="E44" s="16">
        <v>54300</v>
      </c>
      <c r="F44" s="16">
        <v>28</v>
      </c>
      <c r="G44" s="16">
        <v>14</v>
      </c>
      <c r="H44" s="16" t="s">
        <v>31</v>
      </c>
      <c r="I44" s="16" t="s">
        <v>197</v>
      </c>
      <c r="J44" s="16" t="s">
        <v>198</v>
      </c>
      <c r="K44" s="16" t="s">
        <v>18</v>
      </c>
    </row>
    <row r="45" spans="1:11">
      <c r="A45" s="16" t="s">
        <v>34</v>
      </c>
      <c r="B45" s="16" t="s">
        <v>199</v>
      </c>
      <c r="C45" s="16" t="s">
        <v>200</v>
      </c>
      <c r="D45" s="16" t="s">
        <v>37</v>
      </c>
      <c r="E45" s="16">
        <v>54400</v>
      </c>
      <c r="F45" s="16">
        <v>29</v>
      </c>
      <c r="G45" s="16">
        <v>15</v>
      </c>
      <c r="H45" s="16" t="s">
        <v>38</v>
      </c>
      <c r="I45" s="16" t="s">
        <v>201</v>
      </c>
      <c r="J45" s="16" t="s">
        <v>202</v>
      </c>
      <c r="K45" s="16" t="s">
        <v>26</v>
      </c>
    </row>
    <row r="46" spans="1:11">
      <c r="A46" s="16" t="s">
        <v>41</v>
      </c>
      <c r="B46" s="16" t="s">
        <v>203</v>
      </c>
      <c r="C46" s="16" t="s">
        <v>204</v>
      </c>
      <c r="D46" s="16" t="s">
        <v>44</v>
      </c>
      <c r="E46" s="16">
        <v>54500</v>
      </c>
      <c r="F46" s="16">
        <v>30</v>
      </c>
      <c r="G46" s="16">
        <v>1</v>
      </c>
      <c r="H46" s="16" t="s">
        <v>45</v>
      </c>
      <c r="I46" s="16" t="s">
        <v>205</v>
      </c>
      <c r="J46" s="16" t="s">
        <v>206</v>
      </c>
      <c r="K46" s="16" t="s">
        <v>18</v>
      </c>
    </row>
    <row r="47" spans="1:11">
      <c r="A47" s="16" t="s">
        <v>48</v>
      </c>
      <c r="B47" s="16" t="s">
        <v>207</v>
      </c>
      <c r="C47" s="16" t="s">
        <v>82</v>
      </c>
      <c r="D47" s="16" t="s">
        <v>14</v>
      </c>
      <c r="E47" s="16">
        <v>54600</v>
      </c>
      <c r="F47" s="16">
        <v>31</v>
      </c>
      <c r="G47" s="16">
        <v>2</v>
      </c>
      <c r="H47" s="16" t="s">
        <v>15</v>
      </c>
      <c r="I47" s="16" t="s">
        <v>208</v>
      </c>
      <c r="J47" s="16" t="s">
        <v>209</v>
      </c>
      <c r="K47" s="16" t="s">
        <v>26</v>
      </c>
    </row>
    <row r="48" spans="1:11">
      <c r="A48" s="16" t="s">
        <v>53</v>
      </c>
      <c r="B48" s="16" t="s">
        <v>210</v>
      </c>
      <c r="C48" s="16" t="s">
        <v>74</v>
      </c>
      <c r="D48" s="16" t="s">
        <v>22</v>
      </c>
      <c r="E48" s="16">
        <v>54700</v>
      </c>
      <c r="F48" s="16">
        <v>32</v>
      </c>
      <c r="G48" s="16">
        <v>3</v>
      </c>
      <c r="H48" s="16" t="s">
        <v>23</v>
      </c>
      <c r="I48" s="16" t="s">
        <v>211</v>
      </c>
      <c r="J48" s="16" t="s">
        <v>212</v>
      </c>
      <c r="K48" s="16" t="s">
        <v>18</v>
      </c>
    </row>
    <row r="49" spans="1:11">
      <c r="A49" s="16" t="s">
        <v>58</v>
      </c>
      <c r="B49" s="16" t="s">
        <v>213</v>
      </c>
      <c r="C49" s="16" t="s">
        <v>90</v>
      </c>
      <c r="D49" s="16" t="s">
        <v>30</v>
      </c>
      <c r="E49" s="16">
        <v>54800</v>
      </c>
      <c r="F49" s="16">
        <v>33</v>
      </c>
      <c r="G49" s="16">
        <v>4</v>
      </c>
      <c r="H49" s="16" t="s">
        <v>31</v>
      </c>
      <c r="I49" s="16" t="s">
        <v>214</v>
      </c>
      <c r="J49" s="16" t="s">
        <v>215</v>
      </c>
      <c r="K49" s="16" t="s">
        <v>26</v>
      </c>
    </row>
    <row r="50" spans="1:11">
      <c r="A50" s="16" t="s">
        <v>63</v>
      </c>
      <c r="B50" s="16" t="s">
        <v>216</v>
      </c>
      <c r="C50" s="16" t="s">
        <v>217</v>
      </c>
      <c r="D50" s="16" t="s">
        <v>37</v>
      </c>
      <c r="E50" s="16">
        <v>54900</v>
      </c>
      <c r="F50" s="16">
        <v>34</v>
      </c>
      <c r="G50" s="16">
        <v>5</v>
      </c>
      <c r="H50" s="16" t="s">
        <v>38</v>
      </c>
      <c r="I50" s="16" t="s">
        <v>218</v>
      </c>
      <c r="J50" s="16" t="s">
        <v>219</v>
      </c>
      <c r="K50" s="16" t="s">
        <v>18</v>
      </c>
    </row>
    <row r="51" spans="1:11">
      <c r="A51" s="16" t="s">
        <v>68</v>
      </c>
      <c r="B51" s="16" t="s">
        <v>220</v>
      </c>
      <c r="C51" s="16" t="s">
        <v>102</v>
      </c>
      <c r="D51" s="16" t="s">
        <v>44</v>
      </c>
      <c r="E51" s="16">
        <v>55000</v>
      </c>
      <c r="F51" s="16">
        <v>25</v>
      </c>
      <c r="G51" s="16">
        <v>6</v>
      </c>
      <c r="H51" s="16" t="s">
        <v>45</v>
      </c>
      <c r="I51" s="16" t="s">
        <v>221</v>
      </c>
      <c r="J51" s="16" t="s">
        <v>222</v>
      </c>
      <c r="K51" s="1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3"/>
  <sheetViews>
    <sheetView workbookViewId="0">
      <selection activeCell="I6" sqref="I6"/>
    </sheetView>
  </sheetViews>
  <sheetFormatPr defaultRowHeight="14.45"/>
  <cols>
    <col min="1" max="1" width="12.85546875" customWidth="1"/>
  </cols>
  <sheetData>
    <row r="2" spans="1:6">
      <c r="A2">
        <v>1</v>
      </c>
      <c r="B2" s="17" t="s">
        <v>223</v>
      </c>
      <c r="C2" s="17"/>
      <c r="D2" s="17"/>
      <c r="E2" s="17"/>
      <c r="F2" s="17"/>
    </row>
    <row r="3" spans="1:6">
      <c r="A3">
        <v>2</v>
      </c>
      <c r="B3" s="17" t="s">
        <v>224</v>
      </c>
      <c r="C3" s="17"/>
      <c r="D3" s="17"/>
      <c r="E3" s="17"/>
      <c r="F3" s="17"/>
    </row>
    <row r="4" spans="1:6">
      <c r="A4">
        <v>3</v>
      </c>
      <c r="B4" s="17" t="s">
        <v>225</v>
      </c>
      <c r="C4" s="17"/>
      <c r="D4" s="17"/>
      <c r="E4" s="17"/>
      <c r="F4" s="17"/>
    </row>
    <row r="5" spans="1:6">
      <c r="A5">
        <v>4</v>
      </c>
      <c r="B5" s="17" t="s">
        <v>226</v>
      </c>
      <c r="C5" s="17"/>
      <c r="D5" s="17"/>
      <c r="E5" s="17"/>
      <c r="F5" s="17"/>
    </row>
    <row r="6" spans="1:6">
      <c r="A6">
        <v>5</v>
      </c>
      <c r="B6" s="17" t="s">
        <v>227</v>
      </c>
      <c r="C6" s="17"/>
      <c r="D6" s="17"/>
      <c r="E6" s="17"/>
      <c r="F6" s="17"/>
    </row>
    <row r="7" spans="1:6">
      <c r="A7">
        <v>6</v>
      </c>
      <c r="B7" s="17" t="s">
        <v>228</v>
      </c>
      <c r="C7" s="17"/>
      <c r="D7" s="17"/>
      <c r="E7" s="17"/>
      <c r="F7" s="17"/>
    </row>
    <row r="8" spans="1:6">
      <c r="A8">
        <v>7</v>
      </c>
      <c r="B8" s="17" t="s">
        <v>229</v>
      </c>
      <c r="C8" s="17"/>
      <c r="D8" s="17"/>
      <c r="E8" s="17"/>
      <c r="F8" s="17"/>
    </row>
    <row r="9" spans="1:6">
      <c r="A9">
        <v>8</v>
      </c>
      <c r="B9" s="17" t="s">
        <v>230</v>
      </c>
      <c r="C9" s="17"/>
      <c r="D9" s="17"/>
      <c r="E9" s="17"/>
      <c r="F9" s="17"/>
    </row>
    <row r="10" spans="1:6">
      <c r="A10">
        <v>9</v>
      </c>
      <c r="B10" s="18" t="s">
        <v>231</v>
      </c>
      <c r="C10" s="17"/>
      <c r="D10" s="17"/>
      <c r="E10" s="17"/>
      <c r="F10" s="17"/>
    </row>
    <row r="11" spans="1:6">
      <c r="B11" s="13"/>
    </row>
    <row r="12" spans="1:6">
      <c r="B12" s="13" t="s">
        <v>232</v>
      </c>
    </row>
    <row r="13" spans="1:6">
      <c r="B13" s="13" t="s">
        <v>233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>
      <selection activeCell="C14" sqref="C14"/>
    </sheetView>
  </sheetViews>
  <sheetFormatPr defaultRowHeight="14.45"/>
  <sheetData>
    <row r="1" spans="1:4">
      <c r="A1" s="1" t="s">
        <v>234</v>
      </c>
    </row>
    <row r="2" spans="1:4">
      <c r="A2" s="1"/>
    </row>
    <row r="3" spans="1:4">
      <c r="A3" s="1" t="s">
        <v>235</v>
      </c>
    </row>
    <row r="4" spans="1:4">
      <c r="A4" s="1" t="s">
        <v>236</v>
      </c>
    </row>
    <row r="5" spans="1:4">
      <c r="A5" s="1" t="s">
        <v>237</v>
      </c>
    </row>
    <row r="6" spans="1:4">
      <c r="A6" s="1" t="s">
        <v>238</v>
      </c>
    </row>
    <row r="9" spans="1:4">
      <c r="A9" s="2">
        <v>1</v>
      </c>
      <c r="B9" s="2">
        <v>5</v>
      </c>
      <c r="C9" s="3">
        <f>SUM(A9:B9)</f>
        <v>6</v>
      </c>
      <c r="D9" s="4"/>
    </row>
    <row r="14" spans="1:4">
      <c r="C14">
        <f>IF(A9+B9&lt;=4,20,IF(A9+B9&lt;=9,35,IF(A9+B9&lt;=14,50,75)))</f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>
      <selection activeCell="J11" sqref="J11"/>
    </sheetView>
  </sheetViews>
  <sheetFormatPr defaultRowHeight="14.45"/>
  <sheetData>
    <row r="1" spans="1:5">
      <c r="A1" s="5" t="s">
        <v>239</v>
      </c>
    </row>
    <row r="2" spans="1:5">
      <c r="A2" t="s">
        <v>240</v>
      </c>
      <c r="D2" s="6"/>
    </row>
    <row r="3" spans="1:5">
      <c r="A3" t="s">
        <v>241</v>
      </c>
      <c r="D3" s="7"/>
    </row>
    <row r="4" spans="1:5">
      <c r="A4" t="s">
        <v>242</v>
      </c>
      <c r="D4" s="8"/>
    </row>
    <row r="6" spans="1:5">
      <c r="A6" s="9" t="s">
        <v>243</v>
      </c>
      <c r="B6" s="9" t="s">
        <v>44</v>
      </c>
      <c r="C6" s="10"/>
      <c r="D6" s="10"/>
      <c r="E6" s="10"/>
    </row>
    <row r="7" spans="1:5">
      <c r="A7" s="11" t="s">
        <v>244</v>
      </c>
      <c r="B7" s="12">
        <v>1000</v>
      </c>
    </row>
    <row r="8" spans="1:5">
      <c r="A8" s="11" t="s">
        <v>245</v>
      </c>
      <c r="B8" s="12">
        <v>550</v>
      </c>
    </row>
    <row r="9" spans="1:5">
      <c r="A9" s="11" t="s">
        <v>246</v>
      </c>
      <c r="B9" s="12">
        <v>750</v>
      </c>
    </row>
    <row r="10" spans="1:5">
      <c r="A10" s="11" t="s">
        <v>247</v>
      </c>
      <c r="B10" s="12">
        <v>1300</v>
      </c>
    </row>
    <row r="11" spans="1:5">
      <c r="A11" s="11" t="s">
        <v>248</v>
      </c>
      <c r="B11" s="12">
        <v>600</v>
      </c>
    </row>
    <row r="12" spans="1:5">
      <c r="A12" s="11" t="s">
        <v>249</v>
      </c>
      <c r="B12" s="12">
        <v>300</v>
      </c>
    </row>
    <row r="13" spans="1:5">
      <c r="A13" s="11" t="s">
        <v>250</v>
      </c>
      <c r="B13" s="12">
        <v>1200</v>
      </c>
    </row>
    <row r="14" spans="1:5">
      <c r="A14" s="11" t="s">
        <v>251</v>
      </c>
      <c r="B14" s="12">
        <v>200</v>
      </c>
    </row>
    <row r="15" spans="1:5">
      <c r="A15" s="11" t="s">
        <v>252</v>
      </c>
      <c r="B15" s="12">
        <v>100</v>
      </c>
    </row>
    <row r="16" spans="1:5">
      <c r="A16" s="11" t="s">
        <v>253</v>
      </c>
      <c r="B16" s="12">
        <v>50</v>
      </c>
    </row>
    <row r="17" spans="1:2">
      <c r="A17" s="11" t="s">
        <v>254</v>
      </c>
      <c r="B17" s="12">
        <v>400</v>
      </c>
    </row>
    <row r="18" spans="1:2">
      <c r="A18" s="11" t="s">
        <v>255</v>
      </c>
      <c r="B18" s="12">
        <v>1500</v>
      </c>
    </row>
    <row r="19" spans="1:2">
      <c r="A19" s="11" t="s">
        <v>256</v>
      </c>
      <c r="B19" s="12">
        <v>800</v>
      </c>
    </row>
    <row r="20" spans="1:2">
      <c r="A20" s="11" t="s">
        <v>257</v>
      </c>
      <c r="B20" s="12">
        <v>650</v>
      </c>
    </row>
    <row r="21" spans="1:2">
      <c r="A21" s="11" t="s">
        <v>258</v>
      </c>
      <c r="B21" s="12">
        <v>1100</v>
      </c>
    </row>
  </sheetData>
  <conditionalFormatting sqref="A6:A21">
    <cfRule type="cellIs" dxfId="6" priority="4" operator="lessThan">
      <formula>500</formula>
    </cfRule>
  </conditionalFormatting>
  <conditionalFormatting sqref="B7:B21">
    <cfRule type="cellIs" dxfId="5" priority="3" operator="greaterThan">
      <formula>1000</formula>
    </cfRule>
  </conditionalFormatting>
  <conditionalFormatting sqref="B7:B21">
    <cfRule type="cellIs" dxfId="4" priority="2" operator="between">
      <formula>500</formula>
      <formula>1000</formula>
    </cfRule>
  </conditionalFormatting>
  <conditionalFormatting sqref="B7:B21">
    <cfRule type="cellIs" dxfId="3" priority="1" operator="lessThan">
      <formula>500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36CB7-28AD-4638-A65B-F5FE7C880CEB}">
  <dimension ref="A1:K53"/>
  <sheetViews>
    <sheetView workbookViewId="0"/>
  </sheetViews>
  <sheetFormatPr defaultRowHeight="15"/>
  <cols>
    <col min="1" max="1" width="18.140625" bestFit="1" customWidth="1"/>
    <col min="2" max="2" width="14.5703125" bestFit="1" customWidth="1"/>
    <col min="3" max="3" width="17.7109375" bestFit="1" customWidth="1"/>
    <col min="4" max="4" width="14.28515625" bestFit="1" customWidth="1"/>
    <col min="7" max="7" width="20.140625" bestFit="1" customWidth="1"/>
    <col min="8" max="8" width="11" bestFit="1" customWidth="1"/>
    <col min="9" max="9" width="26.7109375" bestFit="1" customWidth="1"/>
    <col min="10" max="10" width="17" bestFit="1" customWidth="1"/>
  </cols>
  <sheetData>
    <row r="1" spans="1:11">
      <c r="A1" s="35" t="s">
        <v>259</v>
      </c>
    </row>
    <row r="3" spans="1:11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>
      <c r="A4" t="s">
        <v>19</v>
      </c>
      <c r="B4" t="s">
        <v>20</v>
      </c>
      <c r="C4" t="s">
        <v>21</v>
      </c>
      <c r="D4" t="s">
        <v>22</v>
      </c>
      <c r="E4">
        <v>50200</v>
      </c>
      <c r="F4">
        <v>27</v>
      </c>
      <c r="G4">
        <v>3</v>
      </c>
      <c r="H4" t="s">
        <v>23</v>
      </c>
      <c r="I4" t="s">
        <v>24</v>
      </c>
      <c r="J4" t="s">
        <v>25</v>
      </c>
      <c r="K4" t="s">
        <v>26</v>
      </c>
    </row>
    <row r="5" spans="1:11">
      <c r="A5" t="s">
        <v>53</v>
      </c>
      <c r="B5" t="s">
        <v>54</v>
      </c>
      <c r="C5" t="s">
        <v>55</v>
      </c>
      <c r="D5" t="s">
        <v>22</v>
      </c>
      <c r="E5">
        <v>50300</v>
      </c>
      <c r="F5">
        <v>32</v>
      </c>
      <c r="G5">
        <v>8</v>
      </c>
      <c r="H5" t="s">
        <v>23</v>
      </c>
      <c r="I5" t="s">
        <v>56</v>
      </c>
      <c r="J5" t="s">
        <v>57</v>
      </c>
      <c r="K5" t="s">
        <v>18</v>
      </c>
    </row>
    <row r="6" spans="1:11">
      <c r="A6" t="s">
        <v>19</v>
      </c>
      <c r="B6" t="s">
        <v>77</v>
      </c>
      <c r="C6" t="s">
        <v>78</v>
      </c>
      <c r="D6" t="s">
        <v>22</v>
      </c>
      <c r="E6">
        <v>51200</v>
      </c>
      <c r="F6">
        <v>27</v>
      </c>
      <c r="G6">
        <v>13</v>
      </c>
      <c r="H6" t="s">
        <v>23</v>
      </c>
      <c r="I6" t="s">
        <v>79</v>
      </c>
      <c r="J6" t="s">
        <v>80</v>
      </c>
      <c r="K6" t="s">
        <v>26</v>
      </c>
    </row>
    <row r="7" spans="1:11">
      <c r="A7" t="s">
        <v>53</v>
      </c>
      <c r="B7" t="s">
        <v>97</v>
      </c>
      <c r="C7" t="s">
        <v>98</v>
      </c>
      <c r="D7" t="s">
        <v>22</v>
      </c>
      <c r="E7">
        <v>51700</v>
      </c>
      <c r="F7">
        <v>32</v>
      </c>
      <c r="G7">
        <v>3</v>
      </c>
      <c r="H7" t="s">
        <v>23</v>
      </c>
      <c r="I7" t="s">
        <v>99</v>
      </c>
      <c r="J7" t="s">
        <v>100</v>
      </c>
      <c r="K7" t="s">
        <v>18</v>
      </c>
    </row>
    <row r="8" spans="1:11">
      <c r="A8" t="s">
        <v>19</v>
      </c>
      <c r="B8" t="s">
        <v>117</v>
      </c>
      <c r="C8" t="s">
        <v>118</v>
      </c>
      <c r="D8" t="s">
        <v>22</v>
      </c>
      <c r="E8">
        <v>52200</v>
      </c>
      <c r="F8">
        <v>27</v>
      </c>
      <c r="G8">
        <v>8</v>
      </c>
      <c r="H8" t="s">
        <v>23</v>
      </c>
      <c r="I8" t="s">
        <v>119</v>
      </c>
      <c r="J8" t="s">
        <v>120</v>
      </c>
      <c r="K8" t="s">
        <v>26</v>
      </c>
    </row>
    <row r="9" spans="1:11">
      <c r="A9" t="s">
        <v>53</v>
      </c>
      <c r="B9" t="s">
        <v>137</v>
      </c>
      <c r="C9" t="s">
        <v>138</v>
      </c>
      <c r="D9" t="s">
        <v>22</v>
      </c>
      <c r="E9">
        <v>52700</v>
      </c>
      <c r="F9">
        <v>32</v>
      </c>
      <c r="G9">
        <v>13</v>
      </c>
      <c r="H9" t="s">
        <v>23</v>
      </c>
      <c r="I9" t="s">
        <v>139</v>
      </c>
      <c r="J9" t="s">
        <v>140</v>
      </c>
      <c r="K9" t="s">
        <v>18</v>
      </c>
    </row>
    <row r="10" spans="1:11">
      <c r="A10" t="s">
        <v>19</v>
      </c>
      <c r="B10" t="s">
        <v>157</v>
      </c>
      <c r="C10" t="s">
        <v>158</v>
      </c>
      <c r="D10" t="s">
        <v>22</v>
      </c>
      <c r="E10">
        <v>53200</v>
      </c>
      <c r="F10">
        <v>27</v>
      </c>
      <c r="G10">
        <v>3</v>
      </c>
      <c r="H10" t="s">
        <v>23</v>
      </c>
      <c r="I10" t="s">
        <v>159</v>
      </c>
      <c r="J10" t="s">
        <v>160</v>
      </c>
      <c r="K10" t="s">
        <v>26</v>
      </c>
    </row>
    <row r="11" spans="1:11">
      <c r="A11" t="s">
        <v>53</v>
      </c>
      <c r="B11" t="s">
        <v>174</v>
      </c>
      <c r="C11" t="s">
        <v>134</v>
      </c>
      <c r="D11" t="s">
        <v>22</v>
      </c>
      <c r="E11">
        <v>53700</v>
      </c>
      <c r="F11">
        <v>32</v>
      </c>
      <c r="G11">
        <v>8</v>
      </c>
      <c r="H11" t="s">
        <v>23</v>
      </c>
      <c r="I11" t="s">
        <v>175</v>
      </c>
      <c r="J11" t="s">
        <v>176</v>
      </c>
      <c r="K11" t="s">
        <v>18</v>
      </c>
    </row>
    <row r="12" spans="1:11">
      <c r="A12" t="s">
        <v>19</v>
      </c>
      <c r="B12" t="s">
        <v>192</v>
      </c>
      <c r="C12" t="s">
        <v>193</v>
      </c>
      <c r="D12" t="s">
        <v>22</v>
      </c>
      <c r="E12">
        <v>54200</v>
      </c>
      <c r="F12">
        <v>27</v>
      </c>
      <c r="G12">
        <v>13</v>
      </c>
      <c r="H12" t="s">
        <v>23</v>
      </c>
      <c r="I12" t="s">
        <v>194</v>
      </c>
      <c r="J12" t="s">
        <v>195</v>
      </c>
      <c r="K12" t="s">
        <v>26</v>
      </c>
    </row>
    <row r="13" spans="1:11">
      <c r="A13" t="s">
        <v>53</v>
      </c>
      <c r="B13" t="s">
        <v>210</v>
      </c>
      <c r="C13" t="s">
        <v>74</v>
      </c>
      <c r="D13" t="s">
        <v>22</v>
      </c>
      <c r="E13">
        <v>54700</v>
      </c>
      <c r="F13">
        <v>32</v>
      </c>
      <c r="G13">
        <v>3</v>
      </c>
      <c r="H13" t="s">
        <v>23</v>
      </c>
      <c r="I13" t="s">
        <v>211</v>
      </c>
      <c r="J13" t="s">
        <v>212</v>
      </c>
      <c r="K13" t="s">
        <v>18</v>
      </c>
    </row>
    <row r="14" spans="1:11">
      <c r="A14" t="s">
        <v>34</v>
      </c>
      <c r="B14" t="s">
        <v>35</v>
      </c>
      <c r="C14" t="s">
        <v>36</v>
      </c>
      <c r="D14" t="s">
        <v>37</v>
      </c>
      <c r="E14">
        <v>50300</v>
      </c>
      <c r="F14">
        <v>29</v>
      </c>
      <c r="G14">
        <v>5</v>
      </c>
      <c r="H14" t="s">
        <v>38</v>
      </c>
      <c r="I14" t="s">
        <v>39</v>
      </c>
      <c r="J14" t="s">
        <v>40</v>
      </c>
      <c r="K14" t="s">
        <v>26</v>
      </c>
    </row>
    <row r="15" spans="1:11">
      <c r="A15" t="s">
        <v>63</v>
      </c>
      <c r="B15" t="s">
        <v>64</v>
      </c>
      <c r="C15" t="s">
        <v>65</v>
      </c>
      <c r="D15" t="s">
        <v>37</v>
      </c>
      <c r="E15">
        <v>50300</v>
      </c>
      <c r="F15">
        <v>34</v>
      </c>
      <c r="G15">
        <v>10</v>
      </c>
      <c r="H15" t="s">
        <v>38</v>
      </c>
      <c r="I15" t="s">
        <v>66</v>
      </c>
      <c r="J15" t="s">
        <v>67</v>
      </c>
      <c r="K15" t="s">
        <v>18</v>
      </c>
    </row>
    <row r="16" spans="1:11">
      <c r="A16" t="s">
        <v>34</v>
      </c>
      <c r="B16" t="s">
        <v>85</v>
      </c>
      <c r="C16" t="s">
        <v>86</v>
      </c>
      <c r="D16" t="s">
        <v>37</v>
      </c>
      <c r="E16">
        <v>51400</v>
      </c>
      <c r="F16">
        <v>29</v>
      </c>
      <c r="G16">
        <v>15</v>
      </c>
      <c r="H16" t="s">
        <v>38</v>
      </c>
      <c r="I16" t="s">
        <v>87</v>
      </c>
      <c r="J16" t="s">
        <v>88</v>
      </c>
      <c r="K16" t="s">
        <v>26</v>
      </c>
    </row>
    <row r="17" spans="1:11">
      <c r="A17" t="s">
        <v>63</v>
      </c>
      <c r="B17" t="s">
        <v>105</v>
      </c>
      <c r="C17" t="s">
        <v>106</v>
      </c>
      <c r="D17" t="s">
        <v>37</v>
      </c>
      <c r="E17">
        <v>51900</v>
      </c>
      <c r="F17">
        <v>34</v>
      </c>
      <c r="G17">
        <v>5</v>
      </c>
      <c r="H17" t="s">
        <v>38</v>
      </c>
      <c r="I17" t="s">
        <v>107</v>
      </c>
      <c r="J17" t="s">
        <v>108</v>
      </c>
      <c r="K17" t="s">
        <v>18</v>
      </c>
    </row>
    <row r="18" spans="1:11">
      <c r="A18" t="s">
        <v>34</v>
      </c>
      <c r="B18" t="s">
        <v>125</v>
      </c>
      <c r="C18" t="s">
        <v>126</v>
      </c>
      <c r="D18" t="s">
        <v>37</v>
      </c>
      <c r="E18">
        <v>52400</v>
      </c>
      <c r="F18">
        <v>29</v>
      </c>
      <c r="G18">
        <v>10</v>
      </c>
      <c r="H18" t="s">
        <v>38</v>
      </c>
      <c r="I18" t="s">
        <v>127</v>
      </c>
      <c r="J18" t="s">
        <v>128</v>
      </c>
      <c r="K18" t="s">
        <v>26</v>
      </c>
    </row>
    <row r="19" spans="1:11">
      <c r="A19" t="s">
        <v>63</v>
      </c>
      <c r="B19" t="s">
        <v>145</v>
      </c>
      <c r="C19" t="s">
        <v>146</v>
      </c>
      <c r="D19" t="s">
        <v>37</v>
      </c>
      <c r="E19">
        <v>52900</v>
      </c>
      <c r="F19">
        <v>34</v>
      </c>
      <c r="G19">
        <v>15</v>
      </c>
      <c r="H19" t="s">
        <v>38</v>
      </c>
      <c r="I19" t="s">
        <v>147</v>
      </c>
      <c r="J19" t="s">
        <v>148</v>
      </c>
      <c r="K19" t="s">
        <v>18</v>
      </c>
    </row>
    <row r="20" spans="1:11">
      <c r="A20" t="s">
        <v>34</v>
      </c>
      <c r="B20" t="s">
        <v>165</v>
      </c>
      <c r="C20" t="s">
        <v>106</v>
      </c>
      <c r="D20" t="s">
        <v>37</v>
      </c>
      <c r="E20">
        <v>53400</v>
      </c>
      <c r="F20">
        <v>29</v>
      </c>
      <c r="G20">
        <v>5</v>
      </c>
      <c r="H20" t="s">
        <v>38</v>
      </c>
      <c r="I20" t="s">
        <v>166</v>
      </c>
      <c r="J20" t="s">
        <v>167</v>
      </c>
      <c r="K20" t="s">
        <v>26</v>
      </c>
    </row>
    <row r="21" spans="1:11">
      <c r="A21" t="s">
        <v>63</v>
      </c>
      <c r="B21" t="s">
        <v>181</v>
      </c>
      <c r="C21" t="s">
        <v>118</v>
      </c>
      <c r="D21" t="s">
        <v>37</v>
      </c>
      <c r="E21">
        <v>53900</v>
      </c>
      <c r="F21">
        <v>34</v>
      </c>
      <c r="G21">
        <v>10</v>
      </c>
      <c r="H21" t="s">
        <v>38</v>
      </c>
      <c r="I21" t="s">
        <v>182</v>
      </c>
      <c r="J21" t="s">
        <v>183</v>
      </c>
      <c r="K21" t="s">
        <v>18</v>
      </c>
    </row>
    <row r="22" spans="1:11">
      <c r="A22" t="s">
        <v>34</v>
      </c>
      <c r="B22" t="s">
        <v>199</v>
      </c>
      <c r="C22" t="s">
        <v>200</v>
      </c>
      <c r="D22" t="s">
        <v>37</v>
      </c>
      <c r="E22">
        <v>54400</v>
      </c>
      <c r="F22">
        <v>29</v>
      </c>
      <c r="G22">
        <v>15</v>
      </c>
      <c r="H22" t="s">
        <v>38</v>
      </c>
      <c r="I22" t="s">
        <v>201</v>
      </c>
      <c r="J22" t="s">
        <v>202</v>
      </c>
      <c r="K22" t="s">
        <v>26</v>
      </c>
    </row>
    <row r="23" spans="1:11">
      <c r="A23" t="s">
        <v>63</v>
      </c>
      <c r="B23" t="s">
        <v>216</v>
      </c>
      <c r="C23" t="s">
        <v>217</v>
      </c>
      <c r="D23" t="s">
        <v>37</v>
      </c>
      <c r="E23">
        <v>54900</v>
      </c>
      <c r="F23">
        <v>34</v>
      </c>
      <c r="G23">
        <v>5</v>
      </c>
      <c r="H23" t="s">
        <v>38</v>
      </c>
      <c r="I23" t="s">
        <v>218</v>
      </c>
      <c r="J23" t="s">
        <v>219</v>
      </c>
      <c r="K23" t="s">
        <v>18</v>
      </c>
    </row>
    <row r="24" spans="1:11">
      <c r="A24" t="s">
        <v>27</v>
      </c>
      <c r="B24" t="s">
        <v>28</v>
      </c>
      <c r="C24" t="s">
        <v>29</v>
      </c>
      <c r="D24" t="s">
        <v>30</v>
      </c>
      <c r="E24">
        <v>50300</v>
      </c>
      <c r="F24">
        <v>28</v>
      </c>
      <c r="G24">
        <v>4</v>
      </c>
      <c r="H24" t="s">
        <v>31</v>
      </c>
      <c r="I24" t="s">
        <v>32</v>
      </c>
      <c r="J24" t="s">
        <v>33</v>
      </c>
      <c r="K24" t="s">
        <v>18</v>
      </c>
    </row>
    <row r="25" spans="1:11">
      <c r="A25" t="s">
        <v>58</v>
      </c>
      <c r="B25" t="s">
        <v>59</v>
      </c>
      <c r="C25" t="s">
        <v>60</v>
      </c>
      <c r="D25" t="s">
        <v>30</v>
      </c>
      <c r="E25">
        <v>50300</v>
      </c>
      <c r="F25">
        <v>33</v>
      </c>
      <c r="G25">
        <v>9</v>
      </c>
      <c r="H25" t="s">
        <v>31</v>
      </c>
      <c r="I25" t="s">
        <v>61</v>
      </c>
      <c r="J25" t="s">
        <v>62</v>
      </c>
      <c r="K25" t="s">
        <v>26</v>
      </c>
    </row>
    <row r="26" spans="1:11">
      <c r="A26" t="s">
        <v>27</v>
      </c>
      <c r="B26" t="s">
        <v>81</v>
      </c>
      <c r="C26" t="s">
        <v>82</v>
      </c>
      <c r="D26" t="s">
        <v>30</v>
      </c>
      <c r="E26">
        <v>51300</v>
      </c>
      <c r="F26">
        <v>28</v>
      </c>
      <c r="G26">
        <v>14</v>
      </c>
      <c r="H26" t="s">
        <v>31</v>
      </c>
      <c r="I26" t="s">
        <v>83</v>
      </c>
      <c r="J26" t="s">
        <v>84</v>
      </c>
      <c r="K26" t="s">
        <v>18</v>
      </c>
    </row>
    <row r="27" spans="1:11">
      <c r="A27" t="s">
        <v>58</v>
      </c>
      <c r="B27" t="s">
        <v>101</v>
      </c>
      <c r="C27" t="s">
        <v>102</v>
      </c>
      <c r="D27" t="s">
        <v>30</v>
      </c>
      <c r="E27">
        <v>51800</v>
      </c>
      <c r="F27">
        <v>33</v>
      </c>
      <c r="G27">
        <v>4</v>
      </c>
      <c r="H27" t="s">
        <v>31</v>
      </c>
      <c r="I27" t="s">
        <v>103</v>
      </c>
      <c r="J27" t="s">
        <v>104</v>
      </c>
      <c r="K27" t="s">
        <v>26</v>
      </c>
    </row>
    <row r="28" spans="1:11">
      <c r="A28" t="s">
        <v>27</v>
      </c>
      <c r="B28" t="s">
        <v>121</v>
      </c>
      <c r="C28" t="s">
        <v>122</v>
      </c>
      <c r="D28" t="s">
        <v>30</v>
      </c>
      <c r="E28">
        <v>52300</v>
      </c>
      <c r="F28">
        <v>28</v>
      </c>
      <c r="G28">
        <v>9</v>
      </c>
      <c r="H28" t="s">
        <v>31</v>
      </c>
      <c r="I28" t="s">
        <v>123</v>
      </c>
      <c r="J28" t="s">
        <v>124</v>
      </c>
      <c r="K28" t="s">
        <v>18</v>
      </c>
    </row>
    <row r="29" spans="1:11">
      <c r="A29" t="s">
        <v>58</v>
      </c>
      <c r="B29" t="s">
        <v>141</v>
      </c>
      <c r="C29" t="s">
        <v>142</v>
      </c>
      <c r="D29" t="s">
        <v>30</v>
      </c>
      <c r="E29">
        <v>52800</v>
      </c>
      <c r="F29">
        <v>33</v>
      </c>
      <c r="G29">
        <v>14</v>
      </c>
      <c r="H29" t="s">
        <v>31</v>
      </c>
      <c r="I29" t="s">
        <v>143</v>
      </c>
      <c r="J29" t="s">
        <v>144</v>
      </c>
      <c r="K29" t="s">
        <v>26</v>
      </c>
    </row>
    <row r="30" spans="1:11">
      <c r="A30" t="s">
        <v>27</v>
      </c>
      <c r="B30" t="s">
        <v>161</v>
      </c>
      <c r="C30" t="s">
        <v>162</v>
      </c>
      <c r="D30" t="s">
        <v>30</v>
      </c>
      <c r="E30">
        <v>53300</v>
      </c>
      <c r="F30">
        <v>28</v>
      </c>
      <c r="G30">
        <v>4</v>
      </c>
      <c r="H30" t="s">
        <v>31</v>
      </c>
      <c r="I30" t="s">
        <v>163</v>
      </c>
      <c r="J30" t="s">
        <v>164</v>
      </c>
      <c r="K30" t="s">
        <v>18</v>
      </c>
    </row>
    <row r="31" spans="1:11">
      <c r="A31" t="s">
        <v>58</v>
      </c>
      <c r="B31" t="s">
        <v>177</v>
      </c>
      <c r="C31" t="s">
        <v>178</v>
      </c>
      <c r="D31" t="s">
        <v>30</v>
      </c>
      <c r="E31">
        <v>53800</v>
      </c>
      <c r="F31">
        <v>33</v>
      </c>
      <c r="G31">
        <v>9</v>
      </c>
      <c r="H31" t="s">
        <v>31</v>
      </c>
      <c r="I31" t="s">
        <v>179</v>
      </c>
      <c r="J31" t="s">
        <v>180</v>
      </c>
      <c r="K31" t="s">
        <v>26</v>
      </c>
    </row>
    <row r="32" spans="1:11">
      <c r="A32" t="s">
        <v>27</v>
      </c>
      <c r="B32" t="s">
        <v>196</v>
      </c>
      <c r="C32" t="s">
        <v>146</v>
      </c>
      <c r="D32" t="s">
        <v>30</v>
      </c>
      <c r="E32">
        <v>54300</v>
      </c>
      <c r="F32">
        <v>28</v>
      </c>
      <c r="G32">
        <v>14</v>
      </c>
      <c r="H32" t="s">
        <v>31</v>
      </c>
      <c r="I32" t="s">
        <v>197</v>
      </c>
      <c r="J32" t="s">
        <v>198</v>
      </c>
      <c r="K32" t="s">
        <v>18</v>
      </c>
    </row>
    <row r="33" spans="1:11">
      <c r="A33" t="s">
        <v>58</v>
      </c>
      <c r="B33" t="s">
        <v>213</v>
      </c>
      <c r="C33" t="s">
        <v>90</v>
      </c>
      <c r="D33" t="s">
        <v>30</v>
      </c>
      <c r="E33">
        <v>54800</v>
      </c>
      <c r="F33">
        <v>33</v>
      </c>
      <c r="G33">
        <v>4</v>
      </c>
      <c r="H33" t="s">
        <v>31</v>
      </c>
      <c r="I33" t="s">
        <v>214</v>
      </c>
      <c r="J33" t="s">
        <v>215</v>
      </c>
      <c r="K33" t="s">
        <v>26</v>
      </c>
    </row>
    <row r="34" spans="1:11">
      <c r="A34" t="s">
        <v>11</v>
      </c>
      <c r="B34" t="s">
        <v>12</v>
      </c>
      <c r="C34" t="s">
        <v>13</v>
      </c>
      <c r="D34" t="s">
        <v>14</v>
      </c>
      <c r="E34">
        <v>50100</v>
      </c>
      <c r="F34">
        <v>26</v>
      </c>
      <c r="G34">
        <v>2</v>
      </c>
      <c r="H34" t="s">
        <v>15</v>
      </c>
      <c r="I34" t="s">
        <v>16</v>
      </c>
      <c r="J34" t="s">
        <v>17</v>
      </c>
      <c r="K34" t="s">
        <v>18</v>
      </c>
    </row>
    <row r="35" spans="1:11">
      <c r="A35" t="s">
        <v>48</v>
      </c>
      <c r="B35" t="s">
        <v>49</v>
      </c>
      <c r="C35" t="s">
        <v>50</v>
      </c>
      <c r="D35" t="s">
        <v>14</v>
      </c>
      <c r="E35">
        <v>50300</v>
      </c>
      <c r="F35">
        <v>31</v>
      </c>
      <c r="G35">
        <v>7</v>
      </c>
      <c r="H35" t="s">
        <v>15</v>
      </c>
      <c r="I35" t="s">
        <v>51</v>
      </c>
      <c r="J35" t="s">
        <v>52</v>
      </c>
      <c r="K35" t="s">
        <v>26</v>
      </c>
    </row>
    <row r="36" spans="1:11">
      <c r="A36" t="s">
        <v>11</v>
      </c>
      <c r="B36" t="s">
        <v>73</v>
      </c>
      <c r="C36" t="s">
        <v>74</v>
      </c>
      <c r="D36" t="s">
        <v>14</v>
      </c>
      <c r="E36">
        <v>51100</v>
      </c>
      <c r="F36">
        <v>26</v>
      </c>
      <c r="G36">
        <v>12</v>
      </c>
      <c r="H36" t="s">
        <v>15</v>
      </c>
      <c r="I36" t="s">
        <v>75</v>
      </c>
      <c r="J36" t="s">
        <v>76</v>
      </c>
      <c r="K36" t="s">
        <v>18</v>
      </c>
    </row>
    <row r="37" spans="1:11">
      <c r="A37" t="s">
        <v>48</v>
      </c>
      <c r="B37" t="s">
        <v>93</v>
      </c>
      <c r="C37" t="s">
        <v>94</v>
      </c>
      <c r="D37" t="s">
        <v>14</v>
      </c>
      <c r="E37">
        <v>51600</v>
      </c>
      <c r="F37">
        <v>31</v>
      </c>
      <c r="G37">
        <v>2</v>
      </c>
      <c r="H37" t="s">
        <v>15</v>
      </c>
      <c r="I37" t="s">
        <v>95</v>
      </c>
      <c r="J37" t="s">
        <v>96</v>
      </c>
      <c r="K37" t="s">
        <v>26</v>
      </c>
    </row>
    <row r="38" spans="1:11">
      <c r="A38" t="s">
        <v>11</v>
      </c>
      <c r="B38" t="s">
        <v>113</v>
      </c>
      <c r="C38" t="s">
        <v>114</v>
      </c>
      <c r="D38" t="s">
        <v>14</v>
      </c>
      <c r="E38">
        <v>52100</v>
      </c>
      <c r="F38">
        <v>26</v>
      </c>
      <c r="G38">
        <v>7</v>
      </c>
      <c r="H38" t="s">
        <v>15</v>
      </c>
      <c r="I38" t="s">
        <v>115</v>
      </c>
      <c r="J38" t="s">
        <v>116</v>
      </c>
      <c r="K38" t="s">
        <v>18</v>
      </c>
    </row>
    <row r="39" spans="1:11">
      <c r="A39" t="s">
        <v>48</v>
      </c>
      <c r="B39" t="s">
        <v>133</v>
      </c>
      <c r="C39" t="s">
        <v>134</v>
      </c>
      <c r="D39" t="s">
        <v>14</v>
      </c>
      <c r="E39">
        <v>52600</v>
      </c>
      <c r="F39">
        <v>31</v>
      </c>
      <c r="G39">
        <v>12</v>
      </c>
      <c r="H39" t="s">
        <v>15</v>
      </c>
      <c r="I39" t="s">
        <v>135</v>
      </c>
      <c r="J39" t="s">
        <v>136</v>
      </c>
      <c r="K39" t="s">
        <v>26</v>
      </c>
    </row>
    <row r="40" spans="1:11">
      <c r="A40" t="s">
        <v>11</v>
      </c>
      <c r="B40" t="s">
        <v>153</v>
      </c>
      <c r="C40" t="s">
        <v>154</v>
      </c>
      <c r="D40" t="s">
        <v>14</v>
      </c>
      <c r="E40">
        <v>53100</v>
      </c>
      <c r="F40">
        <v>26</v>
      </c>
      <c r="G40">
        <v>2</v>
      </c>
      <c r="H40" t="s">
        <v>15</v>
      </c>
      <c r="I40" t="s">
        <v>155</v>
      </c>
      <c r="J40" t="s">
        <v>156</v>
      </c>
      <c r="K40" t="s">
        <v>18</v>
      </c>
    </row>
    <row r="41" spans="1:11">
      <c r="A41" t="s">
        <v>48</v>
      </c>
      <c r="B41" t="s">
        <v>171</v>
      </c>
      <c r="C41" t="s">
        <v>134</v>
      </c>
      <c r="D41" t="s">
        <v>14</v>
      </c>
      <c r="E41">
        <v>53600</v>
      </c>
      <c r="F41">
        <v>31</v>
      </c>
      <c r="G41">
        <v>7</v>
      </c>
      <c r="H41" t="s">
        <v>15</v>
      </c>
      <c r="I41" t="s">
        <v>172</v>
      </c>
      <c r="J41" t="s">
        <v>173</v>
      </c>
      <c r="K41" t="s">
        <v>26</v>
      </c>
    </row>
    <row r="42" spans="1:11">
      <c r="A42" t="s">
        <v>11</v>
      </c>
      <c r="B42" t="s">
        <v>188</v>
      </c>
      <c r="C42" t="s">
        <v>189</v>
      </c>
      <c r="D42" t="s">
        <v>14</v>
      </c>
      <c r="E42">
        <v>54100</v>
      </c>
      <c r="F42">
        <v>26</v>
      </c>
      <c r="G42">
        <v>12</v>
      </c>
      <c r="H42" t="s">
        <v>15</v>
      </c>
      <c r="I42" t="s">
        <v>190</v>
      </c>
      <c r="J42" t="s">
        <v>191</v>
      </c>
      <c r="K42" t="s">
        <v>18</v>
      </c>
    </row>
    <row r="43" spans="1:11">
      <c r="A43" t="s">
        <v>48</v>
      </c>
      <c r="B43" t="s">
        <v>207</v>
      </c>
      <c r="C43" t="s">
        <v>82</v>
      </c>
      <c r="D43" t="s">
        <v>14</v>
      </c>
      <c r="E43">
        <v>54600</v>
      </c>
      <c r="F43">
        <v>31</v>
      </c>
      <c r="G43">
        <v>2</v>
      </c>
      <c r="H43" t="s">
        <v>15</v>
      </c>
      <c r="I43" t="s">
        <v>208</v>
      </c>
      <c r="J43" t="s">
        <v>209</v>
      </c>
      <c r="K43" t="s">
        <v>26</v>
      </c>
    </row>
    <row r="44" spans="1:11">
      <c r="A44" t="s">
        <v>41</v>
      </c>
      <c r="B44" t="s">
        <v>42</v>
      </c>
      <c r="C44" t="s">
        <v>43</v>
      </c>
      <c r="D44" t="s">
        <v>44</v>
      </c>
      <c r="E44">
        <v>50300</v>
      </c>
      <c r="F44">
        <v>30</v>
      </c>
      <c r="G44">
        <v>6</v>
      </c>
      <c r="H44" t="s">
        <v>45</v>
      </c>
      <c r="I44" t="s">
        <v>46</v>
      </c>
      <c r="J44" t="s">
        <v>47</v>
      </c>
      <c r="K44" t="s">
        <v>18</v>
      </c>
    </row>
    <row r="45" spans="1:11">
      <c r="A45" t="s">
        <v>68</v>
      </c>
      <c r="B45" t="s">
        <v>69</v>
      </c>
      <c r="C45" t="s">
        <v>70</v>
      </c>
      <c r="D45" t="s">
        <v>44</v>
      </c>
      <c r="E45">
        <v>50300</v>
      </c>
      <c r="F45">
        <v>25</v>
      </c>
      <c r="G45">
        <v>11</v>
      </c>
      <c r="H45" t="s">
        <v>45</v>
      </c>
      <c r="I45" t="s">
        <v>71</v>
      </c>
      <c r="J45" t="s">
        <v>72</v>
      </c>
      <c r="K45" t="s">
        <v>26</v>
      </c>
    </row>
    <row r="46" spans="1:11">
      <c r="A46" t="s">
        <v>41</v>
      </c>
      <c r="B46" t="s">
        <v>89</v>
      </c>
      <c r="C46" t="s">
        <v>90</v>
      </c>
      <c r="D46" t="s">
        <v>44</v>
      </c>
      <c r="E46">
        <v>51500</v>
      </c>
      <c r="F46">
        <v>30</v>
      </c>
      <c r="G46">
        <v>1</v>
      </c>
      <c r="H46" t="s">
        <v>45</v>
      </c>
      <c r="I46" t="s">
        <v>91</v>
      </c>
      <c r="J46" t="s">
        <v>92</v>
      </c>
      <c r="K46" t="s">
        <v>18</v>
      </c>
    </row>
    <row r="47" spans="1:11">
      <c r="A47" t="s">
        <v>68</v>
      </c>
      <c r="B47" t="s">
        <v>109</v>
      </c>
      <c r="C47" t="s">
        <v>110</v>
      </c>
      <c r="D47" t="s">
        <v>44</v>
      </c>
      <c r="E47">
        <v>52000</v>
      </c>
      <c r="F47">
        <v>25</v>
      </c>
      <c r="G47">
        <v>6</v>
      </c>
      <c r="H47" t="s">
        <v>45</v>
      </c>
      <c r="I47" t="s">
        <v>111</v>
      </c>
      <c r="J47" t="s">
        <v>112</v>
      </c>
      <c r="K47" t="s">
        <v>26</v>
      </c>
    </row>
    <row r="48" spans="1:11">
      <c r="A48" t="s">
        <v>41</v>
      </c>
      <c r="B48" t="s">
        <v>129</v>
      </c>
      <c r="C48" t="s">
        <v>130</v>
      </c>
      <c r="D48" t="s">
        <v>44</v>
      </c>
      <c r="E48">
        <v>52500</v>
      </c>
      <c r="F48">
        <v>30</v>
      </c>
      <c r="G48">
        <v>11</v>
      </c>
      <c r="H48" t="s">
        <v>45</v>
      </c>
      <c r="I48" t="s">
        <v>131</v>
      </c>
      <c r="J48" t="s">
        <v>132</v>
      </c>
      <c r="K48" t="s">
        <v>18</v>
      </c>
    </row>
    <row r="49" spans="1:11">
      <c r="A49" t="s">
        <v>68</v>
      </c>
      <c r="B49" t="s">
        <v>149</v>
      </c>
      <c r="C49" t="s">
        <v>150</v>
      </c>
      <c r="D49" t="s">
        <v>44</v>
      </c>
      <c r="E49">
        <v>53000</v>
      </c>
      <c r="F49">
        <v>25</v>
      </c>
      <c r="G49">
        <v>1</v>
      </c>
      <c r="H49" t="s">
        <v>45</v>
      </c>
      <c r="I49" t="s">
        <v>151</v>
      </c>
      <c r="J49" t="s">
        <v>152</v>
      </c>
      <c r="K49" t="s">
        <v>26</v>
      </c>
    </row>
    <row r="50" spans="1:11">
      <c r="A50" t="s">
        <v>41</v>
      </c>
      <c r="B50" t="s">
        <v>168</v>
      </c>
      <c r="C50" t="s">
        <v>94</v>
      </c>
      <c r="D50" t="s">
        <v>44</v>
      </c>
      <c r="E50">
        <v>53500</v>
      </c>
      <c r="F50">
        <v>30</v>
      </c>
      <c r="G50">
        <v>6</v>
      </c>
      <c r="H50" t="s">
        <v>45</v>
      </c>
      <c r="I50" t="s">
        <v>169</v>
      </c>
      <c r="J50" t="s">
        <v>170</v>
      </c>
      <c r="K50" t="s">
        <v>18</v>
      </c>
    </row>
    <row r="51" spans="1:11">
      <c r="A51" t="s">
        <v>68</v>
      </c>
      <c r="B51" t="s">
        <v>184</v>
      </c>
      <c r="C51" t="s">
        <v>185</v>
      </c>
      <c r="D51" t="s">
        <v>44</v>
      </c>
      <c r="E51">
        <v>54000</v>
      </c>
      <c r="F51">
        <v>25</v>
      </c>
      <c r="G51">
        <v>11</v>
      </c>
      <c r="H51" t="s">
        <v>45</v>
      </c>
      <c r="I51" t="s">
        <v>186</v>
      </c>
      <c r="J51" t="s">
        <v>187</v>
      </c>
      <c r="K51" t="s">
        <v>26</v>
      </c>
    </row>
    <row r="52" spans="1:11">
      <c r="A52" t="s">
        <v>41</v>
      </c>
      <c r="B52" t="s">
        <v>203</v>
      </c>
      <c r="C52" t="s">
        <v>204</v>
      </c>
      <c r="D52" t="s">
        <v>44</v>
      </c>
      <c r="E52">
        <v>54500</v>
      </c>
      <c r="F52">
        <v>30</v>
      </c>
      <c r="G52">
        <v>1</v>
      </c>
      <c r="H52" t="s">
        <v>45</v>
      </c>
      <c r="I52" t="s">
        <v>205</v>
      </c>
      <c r="J52" t="s">
        <v>206</v>
      </c>
      <c r="K52" t="s">
        <v>18</v>
      </c>
    </row>
    <row r="53" spans="1:11">
      <c r="A53" t="s">
        <v>68</v>
      </c>
      <c r="B53" t="s">
        <v>220</v>
      </c>
      <c r="C53" t="s">
        <v>102</v>
      </c>
      <c r="D53" t="s">
        <v>44</v>
      </c>
      <c r="E53">
        <v>55000</v>
      </c>
      <c r="F53">
        <v>25</v>
      </c>
      <c r="G53">
        <v>6</v>
      </c>
      <c r="H53" t="s">
        <v>45</v>
      </c>
      <c r="I53" t="s">
        <v>221</v>
      </c>
      <c r="J53" t="s">
        <v>222</v>
      </c>
      <c r="K53" t="s">
        <v>26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E61EB-3D10-4D64-9F35-D0C11AECE27F}">
  <dimension ref="A1:R51"/>
  <sheetViews>
    <sheetView tabSelected="1" topLeftCell="E1" workbookViewId="0">
      <selection activeCell="Q7" sqref="Q7"/>
    </sheetView>
  </sheetViews>
  <sheetFormatPr defaultRowHeight="15"/>
  <cols>
    <col min="1" max="1" width="18.140625" bestFit="1" customWidth="1"/>
    <col min="2" max="2" width="9" customWidth="1"/>
    <col min="3" max="3" width="17.7109375" bestFit="1" customWidth="1"/>
    <col min="4" max="4" width="12" bestFit="1" customWidth="1"/>
    <col min="9" max="9" width="26.7109375" bestFit="1" customWidth="1"/>
    <col min="10" max="10" width="14.7109375" bestFit="1" customWidth="1"/>
    <col min="12" max="12" width="16.140625" bestFit="1" customWidth="1"/>
    <col min="13" max="13" width="15.140625" bestFit="1" customWidth="1"/>
    <col min="14" max="14" width="13.42578125" bestFit="1" customWidth="1"/>
    <col min="15" max="16" width="14.7109375" bestFit="1" customWidth="1"/>
    <col min="17" max="17" width="15.140625" bestFit="1" customWidth="1"/>
    <col min="18" max="18" width="16.85546875" bestFit="1" customWidth="1"/>
    <col min="19" max="19" width="12.5703125" bestFit="1" customWidth="1"/>
    <col min="20" max="20" width="12.42578125" bestFit="1" customWidth="1"/>
    <col min="21" max="21" width="14.140625" bestFit="1" customWidth="1"/>
    <col min="22" max="22" width="14.5703125" bestFit="1" customWidth="1"/>
    <col min="23" max="23" width="16.28515625" bestFit="1" customWidth="1"/>
    <col min="24" max="24" width="14" bestFit="1" customWidth="1"/>
    <col min="25" max="25" width="11.42578125" bestFit="1" customWidth="1"/>
    <col min="26" max="26" width="14.7109375" bestFit="1" customWidth="1"/>
    <col min="27" max="27" width="11.7109375" bestFit="1" customWidth="1"/>
    <col min="28" max="28" width="14.28515625" bestFit="1" customWidth="1"/>
    <col min="29" max="29" width="11.42578125" bestFit="1" customWidth="1"/>
    <col min="30" max="30" width="10.42578125" bestFit="1" customWidth="1"/>
    <col min="31" max="31" width="11.28515625" bestFit="1" customWidth="1"/>
    <col min="32" max="32" width="13" bestFit="1" customWidth="1"/>
    <col min="33" max="33" width="10.5703125" bestFit="1" customWidth="1"/>
    <col min="34" max="34" width="12.42578125" bestFit="1" customWidth="1"/>
    <col min="35" max="35" width="13.42578125" bestFit="1" customWidth="1"/>
    <col min="36" max="36" width="17.5703125" bestFit="1" customWidth="1"/>
    <col min="37" max="37" width="12.85546875" bestFit="1" customWidth="1"/>
    <col min="38" max="38" width="11.7109375" bestFit="1" customWidth="1"/>
    <col min="39" max="39" width="11.42578125" bestFit="1" customWidth="1"/>
    <col min="40" max="40" width="15.5703125" bestFit="1" customWidth="1"/>
    <col min="41" max="41" width="14" bestFit="1" customWidth="1"/>
    <col min="42" max="42" width="11.140625" bestFit="1" customWidth="1"/>
    <col min="43" max="43" width="13.5703125" bestFit="1" customWidth="1"/>
    <col min="44" max="44" width="15.7109375" bestFit="1" customWidth="1"/>
    <col min="45" max="45" width="15" bestFit="1" customWidth="1"/>
    <col min="46" max="46" width="18.140625" bestFit="1" customWidth="1"/>
    <col min="47" max="47" width="15.28515625" bestFit="1" customWidth="1"/>
    <col min="48" max="48" width="13.7109375" bestFit="1" customWidth="1"/>
    <col min="49" max="49" width="13.85546875" bestFit="1" customWidth="1"/>
    <col min="50" max="50" width="14" bestFit="1" customWidth="1"/>
    <col min="51" max="51" width="12.5703125" bestFit="1" customWidth="1"/>
    <col min="52" max="52" width="11.5703125" bestFit="1" customWidth="1"/>
    <col min="53" max="53" width="14.85546875" bestFit="1" customWidth="1"/>
    <col min="54" max="54" width="12.42578125" bestFit="1" customWidth="1"/>
    <col min="55" max="55" width="13" bestFit="1" customWidth="1"/>
    <col min="56" max="56" width="12.85546875" bestFit="1" customWidth="1"/>
    <col min="57" max="57" width="7.42578125" bestFit="1" customWidth="1"/>
    <col min="58" max="58" width="11.7109375" bestFit="1" customWidth="1"/>
  </cols>
  <sheetData>
    <row r="1" spans="1:18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7" t="s">
        <v>260</v>
      </c>
      <c r="M1" s="22"/>
    </row>
    <row r="2" spans="1:18">
      <c r="A2" s="28" t="s">
        <v>11</v>
      </c>
      <c r="B2" s="23" t="s">
        <v>12</v>
      </c>
      <c r="C2" s="23" t="s">
        <v>13</v>
      </c>
      <c r="D2" s="23" t="s">
        <v>14</v>
      </c>
      <c r="E2" s="23">
        <v>50100</v>
      </c>
      <c r="F2" s="23">
        <v>26</v>
      </c>
      <c r="G2" s="23">
        <v>2</v>
      </c>
      <c r="H2" s="23" t="s">
        <v>15</v>
      </c>
      <c r="I2" s="23" t="s">
        <v>16</v>
      </c>
      <c r="J2" s="23" t="s">
        <v>17</v>
      </c>
      <c r="K2" s="23" t="s">
        <v>18</v>
      </c>
      <c r="L2" s="29" t="str">
        <f>IF(K2="Active","Working","Not working")</f>
        <v>Working</v>
      </c>
      <c r="N2" s="19" t="s">
        <v>261</v>
      </c>
      <c r="Q2" s="20" t="s">
        <v>262</v>
      </c>
    </row>
    <row r="3" spans="1:18">
      <c r="A3" s="28" t="s">
        <v>19</v>
      </c>
      <c r="B3" s="23" t="s">
        <v>20</v>
      </c>
      <c r="C3" s="23" t="s">
        <v>21</v>
      </c>
      <c r="D3" s="23" t="s">
        <v>22</v>
      </c>
      <c r="E3" s="23">
        <v>50200</v>
      </c>
      <c r="F3" s="23">
        <v>27</v>
      </c>
      <c r="G3" s="23">
        <v>3</v>
      </c>
      <c r="H3" s="23" t="s">
        <v>23</v>
      </c>
      <c r="I3" s="23" t="s">
        <v>24</v>
      </c>
      <c r="J3" s="23" t="s">
        <v>25</v>
      </c>
      <c r="K3" s="23" t="s">
        <v>26</v>
      </c>
      <c r="L3" s="29" t="str">
        <f t="shared" ref="L3:L51" si="0">IF(K3="Active","Working","Not working")</f>
        <v>Not working</v>
      </c>
      <c r="Q3" s="24"/>
    </row>
    <row r="4" spans="1:18">
      <c r="A4" s="28" t="s">
        <v>27</v>
      </c>
      <c r="B4" s="23" t="s">
        <v>28</v>
      </c>
      <c r="C4" s="23" t="s">
        <v>29</v>
      </c>
      <c r="D4" s="23" t="s">
        <v>30</v>
      </c>
      <c r="E4" s="23">
        <v>50300</v>
      </c>
      <c r="F4" s="23">
        <v>28</v>
      </c>
      <c r="G4" s="23">
        <v>4</v>
      </c>
      <c r="H4" s="23" t="s">
        <v>31</v>
      </c>
      <c r="I4" s="23" t="s">
        <v>32</v>
      </c>
      <c r="J4" s="23" t="s">
        <v>33</v>
      </c>
      <c r="K4" s="23" t="s">
        <v>18</v>
      </c>
      <c r="L4" s="29" t="str">
        <f t="shared" si="0"/>
        <v>Working</v>
      </c>
      <c r="N4" s="33" t="s">
        <v>3</v>
      </c>
      <c r="O4" s="24" t="s">
        <v>263</v>
      </c>
      <c r="Q4" s="33" t="s">
        <v>3</v>
      </c>
      <c r="R4" s="24" t="s">
        <v>264</v>
      </c>
    </row>
    <row r="5" spans="1:18">
      <c r="A5" s="28" t="s">
        <v>34</v>
      </c>
      <c r="B5" s="23" t="s">
        <v>35</v>
      </c>
      <c r="C5" s="23" t="s">
        <v>36</v>
      </c>
      <c r="D5" s="23" t="s">
        <v>37</v>
      </c>
      <c r="E5" s="23">
        <v>50300</v>
      </c>
      <c r="F5" s="23">
        <v>29</v>
      </c>
      <c r="G5" s="23">
        <v>5</v>
      </c>
      <c r="H5" s="23" t="s">
        <v>38</v>
      </c>
      <c r="I5" s="23" t="s">
        <v>39</v>
      </c>
      <c r="J5" s="23" t="s">
        <v>40</v>
      </c>
      <c r="K5" s="23" t="s">
        <v>26</v>
      </c>
      <c r="L5" s="29" t="str">
        <f t="shared" si="0"/>
        <v>Not working</v>
      </c>
      <c r="N5" s="24" t="s">
        <v>22</v>
      </c>
      <c r="O5" s="34">
        <v>10</v>
      </c>
      <c r="Q5" s="24" t="s">
        <v>22</v>
      </c>
      <c r="R5" s="34">
        <v>52410</v>
      </c>
    </row>
    <row r="6" spans="1:18">
      <c r="A6" s="28" t="s">
        <v>41</v>
      </c>
      <c r="B6" s="23" t="s">
        <v>42</v>
      </c>
      <c r="C6" s="23" t="s">
        <v>43</v>
      </c>
      <c r="D6" s="23" t="s">
        <v>44</v>
      </c>
      <c r="E6" s="23">
        <v>50300</v>
      </c>
      <c r="F6" s="23">
        <v>30</v>
      </c>
      <c r="G6" s="23">
        <v>6</v>
      </c>
      <c r="H6" s="23" t="s">
        <v>45</v>
      </c>
      <c r="I6" s="23" t="s">
        <v>46</v>
      </c>
      <c r="J6" s="23" t="s">
        <v>47</v>
      </c>
      <c r="K6" s="23" t="s">
        <v>18</v>
      </c>
      <c r="L6" s="29" t="str">
        <f t="shared" si="0"/>
        <v>Working</v>
      </c>
      <c r="N6" s="24" t="s">
        <v>37</v>
      </c>
      <c r="O6" s="34">
        <v>10</v>
      </c>
      <c r="Q6" s="24" t="s">
        <v>37</v>
      </c>
      <c r="R6" s="34">
        <v>52580</v>
      </c>
    </row>
    <row r="7" spans="1:18">
      <c r="A7" s="28" t="s">
        <v>48</v>
      </c>
      <c r="B7" s="23" t="s">
        <v>49</v>
      </c>
      <c r="C7" s="23" t="s">
        <v>50</v>
      </c>
      <c r="D7" s="23" t="s">
        <v>14</v>
      </c>
      <c r="E7" s="23">
        <v>50300</v>
      </c>
      <c r="F7" s="23">
        <v>31</v>
      </c>
      <c r="G7" s="23">
        <v>7</v>
      </c>
      <c r="H7" s="23" t="s">
        <v>15</v>
      </c>
      <c r="I7" s="23" t="s">
        <v>51</v>
      </c>
      <c r="J7" s="23" t="s">
        <v>52</v>
      </c>
      <c r="K7" s="23" t="s">
        <v>26</v>
      </c>
      <c r="L7" s="29" t="str">
        <f t="shared" si="0"/>
        <v>Not working</v>
      </c>
      <c r="N7" s="24" t="s">
        <v>30</v>
      </c>
      <c r="O7" s="34">
        <v>10</v>
      </c>
      <c r="Q7" s="24" t="s">
        <v>30</v>
      </c>
      <c r="R7" s="34">
        <v>52500</v>
      </c>
    </row>
    <row r="8" spans="1:18">
      <c r="A8" s="28" t="s">
        <v>53</v>
      </c>
      <c r="B8" s="23" t="s">
        <v>54</v>
      </c>
      <c r="C8" s="23" t="s">
        <v>55</v>
      </c>
      <c r="D8" s="23" t="s">
        <v>22</v>
      </c>
      <c r="E8" s="23">
        <v>50300</v>
      </c>
      <c r="F8" s="23">
        <v>32</v>
      </c>
      <c r="G8" s="23">
        <v>8</v>
      </c>
      <c r="H8" s="23" t="s">
        <v>23</v>
      </c>
      <c r="I8" s="23" t="s">
        <v>56</v>
      </c>
      <c r="J8" s="23" t="s">
        <v>57</v>
      </c>
      <c r="K8" s="23" t="s">
        <v>18</v>
      </c>
      <c r="L8" s="29" t="str">
        <f t="shared" si="0"/>
        <v>Working</v>
      </c>
      <c r="N8" s="24" t="s">
        <v>14</v>
      </c>
      <c r="O8" s="34">
        <v>10</v>
      </c>
      <c r="Q8" s="24" t="s">
        <v>14</v>
      </c>
      <c r="R8" s="34">
        <v>52320</v>
      </c>
    </row>
    <row r="9" spans="1:18">
      <c r="A9" s="28" t="s">
        <v>58</v>
      </c>
      <c r="B9" s="23" t="s">
        <v>59</v>
      </c>
      <c r="C9" s="23" t="s">
        <v>60</v>
      </c>
      <c r="D9" s="23" t="s">
        <v>30</v>
      </c>
      <c r="E9" s="23">
        <v>50300</v>
      </c>
      <c r="F9" s="23">
        <v>33</v>
      </c>
      <c r="G9" s="23">
        <v>9</v>
      </c>
      <c r="H9" s="23" t="s">
        <v>31</v>
      </c>
      <c r="I9" s="23" t="s">
        <v>61</v>
      </c>
      <c r="J9" s="23" t="s">
        <v>62</v>
      </c>
      <c r="K9" s="23" t="s">
        <v>26</v>
      </c>
      <c r="L9" s="29" t="str">
        <f t="shared" si="0"/>
        <v>Not working</v>
      </c>
      <c r="N9" s="24" t="s">
        <v>44</v>
      </c>
      <c r="O9" s="34">
        <v>10</v>
      </c>
      <c r="Q9" s="24" t="s">
        <v>44</v>
      </c>
      <c r="R9" s="34">
        <v>52660</v>
      </c>
    </row>
    <row r="10" spans="1:18">
      <c r="A10" s="28" t="s">
        <v>63</v>
      </c>
      <c r="B10" s="23" t="s">
        <v>64</v>
      </c>
      <c r="C10" s="23" t="s">
        <v>65</v>
      </c>
      <c r="D10" s="23" t="s">
        <v>37</v>
      </c>
      <c r="E10" s="23">
        <v>50300</v>
      </c>
      <c r="F10" s="23">
        <v>34</v>
      </c>
      <c r="G10" s="23">
        <v>10</v>
      </c>
      <c r="H10" s="23" t="s">
        <v>38</v>
      </c>
      <c r="I10" s="23" t="s">
        <v>66</v>
      </c>
      <c r="J10" s="23" t="s">
        <v>67</v>
      </c>
      <c r="K10" s="23" t="s">
        <v>18</v>
      </c>
      <c r="L10" s="29" t="str">
        <f t="shared" si="0"/>
        <v>Working</v>
      </c>
      <c r="N10" s="24" t="s">
        <v>265</v>
      </c>
      <c r="O10" s="34"/>
      <c r="Q10" s="24" t="s">
        <v>266</v>
      </c>
      <c r="R10" s="34">
        <v>52494</v>
      </c>
    </row>
    <row r="11" spans="1:18">
      <c r="A11" s="28" t="s">
        <v>68</v>
      </c>
      <c r="B11" s="23" t="s">
        <v>69</v>
      </c>
      <c r="C11" s="23" t="s">
        <v>70</v>
      </c>
      <c r="D11" s="23" t="s">
        <v>44</v>
      </c>
      <c r="E11" s="23">
        <v>50300</v>
      </c>
      <c r="F11" s="23">
        <v>25</v>
      </c>
      <c r="G11" s="23">
        <v>11</v>
      </c>
      <c r="H11" s="23" t="s">
        <v>45</v>
      </c>
      <c r="I11" s="23" t="s">
        <v>71</v>
      </c>
      <c r="J11" s="23" t="s">
        <v>72</v>
      </c>
      <c r="K11" s="23" t="s">
        <v>26</v>
      </c>
      <c r="L11" s="29" t="str">
        <f t="shared" si="0"/>
        <v>Not working</v>
      </c>
      <c r="N11" s="24" t="s">
        <v>266</v>
      </c>
      <c r="O11" s="34">
        <v>50</v>
      </c>
    </row>
    <row r="12" spans="1:18">
      <c r="A12" s="28" t="s">
        <v>11</v>
      </c>
      <c r="B12" s="23" t="s">
        <v>73</v>
      </c>
      <c r="C12" s="23" t="s">
        <v>74</v>
      </c>
      <c r="D12" s="23" t="s">
        <v>14</v>
      </c>
      <c r="E12" s="23">
        <v>51100</v>
      </c>
      <c r="F12" s="23">
        <v>26</v>
      </c>
      <c r="G12" s="23">
        <v>12</v>
      </c>
      <c r="H12" s="23" t="s">
        <v>15</v>
      </c>
      <c r="I12" s="23" t="s">
        <v>75</v>
      </c>
      <c r="J12" s="23" t="s">
        <v>76</v>
      </c>
      <c r="K12" s="23" t="s">
        <v>18</v>
      </c>
      <c r="L12" s="29" t="str">
        <f t="shared" si="0"/>
        <v>Working</v>
      </c>
    </row>
    <row r="13" spans="1:18">
      <c r="A13" s="28" t="s">
        <v>19</v>
      </c>
      <c r="B13" s="23" t="s">
        <v>77</v>
      </c>
      <c r="C13" s="23" t="s">
        <v>78</v>
      </c>
      <c r="D13" s="23" t="s">
        <v>22</v>
      </c>
      <c r="E13" s="23">
        <v>51200</v>
      </c>
      <c r="F13" s="23">
        <v>27</v>
      </c>
      <c r="G13" s="23">
        <v>13</v>
      </c>
      <c r="H13" s="23" t="s">
        <v>23</v>
      </c>
      <c r="I13" s="23" t="s">
        <v>79</v>
      </c>
      <c r="J13" s="23" t="s">
        <v>80</v>
      </c>
      <c r="K13" s="23" t="s">
        <v>26</v>
      </c>
      <c r="L13" s="29" t="str">
        <f t="shared" si="0"/>
        <v>Not working</v>
      </c>
      <c r="N13" s="20" t="s">
        <v>267</v>
      </c>
      <c r="Q13" s="21" t="s">
        <v>268</v>
      </c>
    </row>
    <row r="14" spans="1:18">
      <c r="A14" s="28" t="s">
        <v>27</v>
      </c>
      <c r="B14" s="23" t="s">
        <v>81</v>
      </c>
      <c r="C14" s="23" t="s">
        <v>82</v>
      </c>
      <c r="D14" s="23" t="s">
        <v>30</v>
      </c>
      <c r="E14" s="23">
        <v>51300</v>
      </c>
      <c r="F14" s="23">
        <v>28</v>
      </c>
      <c r="G14" s="23">
        <v>14</v>
      </c>
      <c r="H14" s="23" t="s">
        <v>31</v>
      </c>
      <c r="I14" s="23" t="s">
        <v>83</v>
      </c>
      <c r="J14" s="23" t="s">
        <v>84</v>
      </c>
      <c r="K14" s="23" t="s">
        <v>18</v>
      </c>
      <c r="L14" s="29" t="str">
        <f t="shared" si="0"/>
        <v>Working</v>
      </c>
      <c r="N14" s="33" t="s">
        <v>10</v>
      </c>
      <c r="O14" s="24" t="s">
        <v>263</v>
      </c>
      <c r="Q14" s="33" t="s">
        <v>7</v>
      </c>
      <c r="R14" s="24" t="s">
        <v>263</v>
      </c>
    </row>
    <row r="15" spans="1:18">
      <c r="A15" s="28" t="s">
        <v>34</v>
      </c>
      <c r="B15" s="23" t="s">
        <v>85</v>
      </c>
      <c r="C15" s="23" t="s">
        <v>86</v>
      </c>
      <c r="D15" s="23" t="s">
        <v>37</v>
      </c>
      <c r="E15" s="23">
        <v>51400</v>
      </c>
      <c r="F15" s="23">
        <v>29</v>
      </c>
      <c r="G15" s="23">
        <v>15</v>
      </c>
      <c r="H15" s="23" t="s">
        <v>38</v>
      </c>
      <c r="I15" s="23" t="s">
        <v>87</v>
      </c>
      <c r="J15" s="23" t="s">
        <v>88</v>
      </c>
      <c r="K15" s="23" t="s">
        <v>26</v>
      </c>
      <c r="L15" s="29" t="str">
        <f t="shared" si="0"/>
        <v>Not working</v>
      </c>
      <c r="N15" s="24" t="s">
        <v>18</v>
      </c>
      <c r="O15" s="34">
        <v>25</v>
      </c>
      <c r="Q15" s="24" t="s">
        <v>15</v>
      </c>
      <c r="R15" s="34">
        <v>10</v>
      </c>
    </row>
    <row r="16" spans="1:18">
      <c r="A16" s="28" t="s">
        <v>41</v>
      </c>
      <c r="B16" s="23" t="s">
        <v>89</v>
      </c>
      <c r="C16" s="23" t="s">
        <v>90</v>
      </c>
      <c r="D16" s="23" t="s">
        <v>44</v>
      </c>
      <c r="E16" s="23">
        <v>51500</v>
      </c>
      <c r="F16" s="23">
        <v>30</v>
      </c>
      <c r="G16" s="23">
        <v>1</v>
      </c>
      <c r="H16" s="23" t="s">
        <v>45</v>
      </c>
      <c r="I16" s="23" t="s">
        <v>91</v>
      </c>
      <c r="J16" s="23" t="s">
        <v>92</v>
      </c>
      <c r="K16" s="23" t="s">
        <v>18</v>
      </c>
      <c r="L16" s="29" t="str">
        <f t="shared" si="0"/>
        <v>Working</v>
      </c>
      <c r="N16" s="24" t="s">
        <v>26</v>
      </c>
      <c r="O16" s="34">
        <v>25</v>
      </c>
      <c r="Q16" s="24" t="s">
        <v>23</v>
      </c>
      <c r="R16" s="34">
        <v>10</v>
      </c>
    </row>
    <row r="17" spans="1:18">
      <c r="A17" s="28" t="s">
        <v>48</v>
      </c>
      <c r="B17" s="23" t="s">
        <v>93</v>
      </c>
      <c r="C17" s="23" t="s">
        <v>94</v>
      </c>
      <c r="D17" s="23" t="s">
        <v>14</v>
      </c>
      <c r="E17" s="23">
        <v>51600</v>
      </c>
      <c r="F17" s="23">
        <v>31</v>
      </c>
      <c r="G17" s="23">
        <v>2</v>
      </c>
      <c r="H17" s="23" t="s">
        <v>15</v>
      </c>
      <c r="I17" s="23" t="s">
        <v>95</v>
      </c>
      <c r="J17" s="23" t="s">
        <v>96</v>
      </c>
      <c r="K17" s="23" t="s">
        <v>26</v>
      </c>
      <c r="L17" s="29" t="str">
        <f t="shared" si="0"/>
        <v>Not working</v>
      </c>
      <c r="N17" s="24" t="s">
        <v>265</v>
      </c>
      <c r="O17" s="34"/>
      <c r="Q17" s="24" t="s">
        <v>31</v>
      </c>
      <c r="R17" s="34">
        <v>10</v>
      </c>
    </row>
    <row r="18" spans="1:18">
      <c r="A18" s="28" t="s">
        <v>53</v>
      </c>
      <c r="B18" s="23" t="s">
        <v>97</v>
      </c>
      <c r="C18" s="23" t="s">
        <v>98</v>
      </c>
      <c r="D18" s="23" t="s">
        <v>22</v>
      </c>
      <c r="E18" s="23">
        <v>51700</v>
      </c>
      <c r="F18" s="23">
        <v>32</v>
      </c>
      <c r="G18" s="23">
        <v>3</v>
      </c>
      <c r="H18" s="23" t="s">
        <v>23</v>
      </c>
      <c r="I18" s="23" t="s">
        <v>99</v>
      </c>
      <c r="J18" s="23" t="s">
        <v>100</v>
      </c>
      <c r="K18" s="23" t="s">
        <v>18</v>
      </c>
      <c r="L18" s="29" t="str">
        <f t="shared" si="0"/>
        <v>Working</v>
      </c>
      <c r="N18" s="24" t="s">
        <v>266</v>
      </c>
      <c r="O18" s="34">
        <v>50</v>
      </c>
      <c r="Q18" s="24" t="s">
        <v>38</v>
      </c>
      <c r="R18" s="34">
        <v>10</v>
      </c>
    </row>
    <row r="19" spans="1:18">
      <c r="A19" s="28" t="s">
        <v>58</v>
      </c>
      <c r="B19" s="23" t="s">
        <v>101</v>
      </c>
      <c r="C19" s="23" t="s">
        <v>102</v>
      </c>
      <c r="D19" s="23" t="s">
        <v>30</v>
      </c>
      <c r="E19" s="23">
        <v>51800</v>
      </c>
      <c r="F19" s="23">
        <v>33</v>
      </c>
      <c r="G19" s="23">
        <v>4</v>
      </c>
      <c r="H19" s="23" t="s">
        <v>31</v>
      </c>
      <c r="I19" s="23" t="s">
        <v>103</v>
      </c>
      <c r="J19" s="23" t="s">
        <v>104</v>
      </c>
      <c r="K19" s="23" t="s">
        <v>26</v>
      </c>
      <c r="L19" s="29" t="str">
        <f t="shared" si="0"/>
        <v>Not working</v>
      </c>
      <c r="Q19" s="24" t="s">
        <v>45</v>
      </c>
      <c r="R19" s="34">
        <v>10</v>
      </c>
    </row>
    <row r="20" spans="1:18">
      <c r="A20" s="28" t="s">
        <v>63</v>
      </c>
      <c r="B20" s="23" t="s">
        <v>105</v>
      </c>
      <c r="C20" s="23" t="s">
        <v>106</v>
      </c>
      <c r="D20" s="23" t="s">
        <v>37</v>
      </c>
      <c r="E20" s="23">
        <v>51900</v>
      </c>
      <c r="F20" s="23">
        <v>34</v>
      </c>
      <c r="G20" s="23">
        <v>5</v>
      </c>
      <c r="H20" s="23" t="s">
        <v>38</v>
      </c>
      <c r="I20" s="23" t="s">
        <v>107</v>
      </c>
      <c r="J20" s="23" t="s">
        <v>108</v>
      </c>
      <c r="K20" s="23" t="s">
        <v>18</v>
      </c>
      <c r="L20" s="29" t="str">
        <f t="shared" si="0"/>
        <v>Working</v>
      </c>
      <c r="Q20" s="24" t="s">
        <v>265</v>
      </c>
      <c r="R20" s="34"/>
    </row>
    <row r="21" spans="1:18">
      <c r="A21" s="28" t="s">
        <v>68</v>
      </c>
      <c r="B21" s="23" t="s">
        <v>109</v>
      </c>
      <c r="C21" s="23" t="s">
        <v>110</v>
      </c>
      <c r="D21" s="23" t="s">
        <v>44</v>
      </c>
      <c r="E21" s="23">
        <v>52000</v>
      </c>
      <c r="F21" s="23">
        <v>25</v>
      </c>
      <c r="G21" s="23">
        <v>6</v>
      </c>
      <c r="H21" s="23" t="s">
        <v>45</v>
      </c>
      <c r="I21" s="23" t="s">
        <v>111</v>
      </c>
      <c r="J21" s="23" t="s">
        <v>112</v>
      </c>
      <c r="K21" s="23" t="s">
        <v>26</v>
      </c>
      <c r="L21" s="29" t="str">
        <f t="shared" si="0"/>
        <v>Not working</v>
      </c>
      <c r="N21" s="21" t="s">
        <v>269</v>
      </c>
      <c r="Q21" s="24" t="s">
        <v>266</v>
      </c>
      <c r="R21" s="34">
        <v>50</v>
      </c>
    </row>
    <row r="22" spans="1:18">
      <c r="A22" s="28" t="s">
        <v>11</v>
      </c>
      <c r="B22" s="23" t="s">
        <v>113</v>
      </c>
      <c r="C22" s="23" t="s">
        <v>114</v>
      </c>
      <c r="D22" s="23" t="s">
        <v>14</v>
      </c>
      <c r="E22" s="23">
        <v>52100</v>
      </c>
      <c r="F22" s="23">
        <v>26</v>
      </c>
      <c r="G22" s="23">
        <v>7</v>
      </c>
      <c r="H22" s="23" t="s">
        <v>15</v>
      </c>
      <c r="I22" s="23" t="s">
        <v>115</v>
      </c>
      <c r="J22" s="23" t="s">
        <v>116</v>
      </c>
      <c r="K22" s="23" t="s">
        <v>18</v>
      </c>
      <c r="L22" s="29" t="str">
        <f t="shared" si="0"/>
        <v>Working</v>
      </c>
      <c r="N22" s="33" t="s">
        <v>3</v>
      </c>
      <c r="O22" s="24" t="s">
        <v>270</v>
      </c>
    </row>
    <row r="23" spans="1:18">
      <c r="A23" s="28" t="s">
        <v>19</v>
      </c>
      <c r="B23" s="23" t="s">
        <v>117</v>
      </c>
      <c r="C23" s="23" t="s">
        <v>118</v>
      </c>
      <c r="D23" s="23" t="s">
        <v>22</v>
      </c>
      <c r="E23" s="23">
        <v>52200</v>
      </c>
      <c r="F23" s="23">
        <v>27</v>
      </c>
      <c r="G23" s="23">
        <v>8</v>
      </c>
      <c r="H23" s="23" t="s">
        <v>23</v>
      </c>
      <c r="I23" s="23" t="s">
        <v>119</v>
      </c>
      <c r="J23" s="23" t="s">
        <v>120</v>
      </c>
      <c r="K23" s="23" t="s">
        <v>26</v>
      </c>
      <c r="L23" s="29" t="str">
        <f t="shared" si="0"/>
        <v>Not working</v>
      </c>
      <c r="N23" s="24" t="s">
        <v>22</v>
      </c>
      <c r="O23" s="34">
        <v>524100</v>
      </c>
    </row>
    <row r="24" spans="1:18">
      <c r="A24" s="28" t="s">
        <v>27</v>
      </c>
      <c r="B24" s="23" t="s">
        <v>121</v>
      </c>
      <c r="C24" s="23" t="s">
        <v>122</v>
      </c>
      <c r="D24" s="23" t="s">
        <v>30</v>
      </c>
      <c r="E24" s="23">
        <v>52300</v>
      </c>
      <c r="F24" s="23">
        <v>28</v>
      </c>
      <c r="G24" s="23">
        <v>9</v>
      </c>
      <c r="H24" s="23" t="s">
        <v>31</v>
      </c>
      <c r="I24" s="23" t="s">
        <v>123</v>
      </c>
      <c r="J24" s="23" t="s">
        <v>124</v>
      </c>
      <c r="K24" s="23" t="s">
        <v>18</v>
      </c>
      <c r="L24" s="29" t="str">
        <f t="shared" si="0"/>
        <v>Working</v>
      </c>
      <c r="N24" s="24" t="s">
        <v>37</v>
      </c>
      <c r="O24" s="34">
        <v>525800</v>
      </c>
    </row>
    <row r="25" spans="1:18">
      <c r="A25" s="28" t="s">
        <v>34</v>
      </c>
      <c r="B25" s="23" t="s">
        <v>125</v>
      </c>
      <c r="C25" s="23" t="s">
        <v>126</v>
      </c>
      <c r="D25" s="23" t="s">
        <v>37</v>
      </c>
      <c r="E25" s="23">
        <v>52400</v>
      </c>
      <c r="F25" s="23">
        <v>29</v>
      </c>
      <c r="G25" s="23">
        <v>10</v>
      </c>
      <c r="H25" s="23" t="s">
        <v>38</v>
      </c>
      <c r="I25" s="23" t="s">
        <v>127</v>
      </c>
      <c r="J25" s="23" t="s">
        <v>128</v>
      </c>
      <c r="K25" s="23" t="s">
        <v>26</v>
      </c>
      <c r="L25" s="29" t="str">
        <f t="shared" si="0"/>
        <v>Not working</v>
      </c>
      <c r="N25" s="24" t="s">
        <v>30</v>
      </c>
      <c r="O25" s="34">
        <v>525000</v>
      </c>
    </row>
    <row r="26" spans="1:18">
      <c r="A26" s="28" t="s">
        <v>41</v>
      </c>
      <c r="B26" s="23" t="s">
        <v>129</v>
      </c>
      <c r="C26" s="23" t="s">
        <v>130</v>
      </c>
      <c r="D26" s="23" t="s">
        <v>44</v>
      </c>
      <c r="E26" s="23">
        <v>52500</v>
      </c>
      <c r="F26" s="23">
        <v>30</v>
      </c>
      <c r="G26" s="23">
        <v>11</v>
      </c>
      <c r="H26" s="23" t="s">
        <v>45</v>
      </c>
      <c r="I26" s="23" t="s">
        <v>131</v>
      </c>
      <c r="J26" s="23" t="s">
        <v>132</v>
      </c>
      <c r="K26" s="23" t="s">
        <v>18</v>
      </c>
      <c r="L26" s="29" t="str">
        <f t="shared" si="0"/>
        <v>Working</v>
      </c>
      <c r="N26" s="24" t="s">
        <v>14</v>
      </c>
      <c r="O26" s="34">
        <v>523200</v>
      </c>
    </row>
    <row r="27" spans="1:18">
      <c r="A27" s="28" t="s">
        <v>48</v>
      </c>
      <c r="B27" s="23" t="s">
        <v>133</v>
      </c>
      <c r="C27" s="23" t="s">
        <v>134</v>
      </c>
      <c r="D27" s="23" t="s">
        <v>14</v>
      </c>
      <c r="E27" s="23">
        <v>52600</v>
      </c>
      <c r="F27" s="23">
        <v>31</v>
      </c>
      <c r="G27" s="23">
        <v>12</v>
      </c>
      <c r="H27" s="23" t="s">
        <v>15</v>
      </c>
      <c r="I27" s="23" t="s">
        <v>135</v>
      </c>
      <c r="J27" s="23" t="s">
        <v>136</v>
      </c>
      <c r="K27" s="23" t="s">
        <v>26</v>
      </c>
      <c r="L27" s="29" t="str">
        <f t="shared" si="0"/>
        <v>Not working</v>
      </c>
      <c r="N27" s="24" t="s">
        <v>44</v>
      </c>
      <c r="O27" s="34">
        <v>526600</v>
      </c>
    </row>
    <row r="28" spans="1:18">
      <c r="A28" s="28" t="s">
        <v>53</v>
      </c>
      <c r="B28" s="23" t="s">
        <v>137</v>
      </c>
      <c r="C28" s="23" t="s">
        <v>138</v>
      </c>
      <c r="D28" s="23" t="s">
        <v>22</v>
      </c>
      <c r="E28" s="23">
        <v>52700</v>
      </c>
      <c r="F28" s="23">
        <v>32</v>
      </c>
      <c r="G28" s="23">
        <v>13</v>
      </c>
      <c r="H28" s="23" t="s">
        <v>23</v>
      </c>
      <c r="I28" s="23" t="s">
        <v>139</v>
      </c>
      <c r="J28" s="23" t="s">
        <v>140</v>
      </c>
      <c r="K28" s="23" t="s">
        <v>18</v>
      </c>
      <c r="L28" s="29" t="str">
        <f t="shared" si="0"/>
        <v>Working</v>
      </c>
      <c r="N28" s="24" t="s">
        <v>265</v>
      </c>
      <c r="O28" s="34"/>
    </row>
    <row r="29" spans="1:18">
      <c r="A29" s="28" t="s">
        <v>58</v>
      </c>
      <c r="B29" s="23" t="s">
        <v>141</v>
      </c>
      <c r="C29" s="23" t="s">
        <v>142</v>
      </c>
      <c r="D29" s="23" t="s">
        <v>30</v>
      </c>
      <c r="E29" s="23">
        <v>52800</v>
      </c>
      <c r="F29" s="23">
        <v>33</v>
      </c>
      <c r="G29" s="23">
        <v>14</v>
      </c>
      <c r="H29" s="23" t="s">
        <v>31</v>
      </c>
      <c r="I29" s="23" t="s">
        <v>143</v>
      </c>
      <c r="J29" s="23" t="s">
        <v>144</v>
      </c>
      <c r="K29" s="23" t="s">
        <v>26</v>
      </c>
      <c r="L29" s="29" t="str">
        <f t="shared" si="0"/>
        <v>Not working</v>
      </c>
      <c r="N29" s="24" t="s">
        <v>266</v>
      </c>
      <c r="O29" s="34">
        <v>2624700</v>
      </c>
    </row>
    <row r="30" spans="1:18">
      <c r="A30" s="28" t="s">
        <v>63</v>
      </c>
      <c r="B30" s="23" t="s">
        <v>145</v>
      </c>
      <c r="C30" s="23" t="s">
        <v>146</v>
      </c>
      <c r="D30" s="23" t="s">
        <v>37</v>
      </c>
      <c r="E30" s="23">
        <v>52900</v>
      </c>
      <c r="F30" s="23">
        <v>34</v>
      </c>
      <c r="G30" s="23">
        <v>15</v>
      </c>
      <c r="H30" s="23" t="s">
        <v>38</v>
      </c>
      <c r="I30" s="23" t="s">
        <v>147</v>
      </c>
      <c r="J30" s="23" t="s">
        <v>148</v>
      </c>
      <c r="K30" s="23" t="s">
        <v>18</v>
      </c>
      <c r="L30" s="29" t="str">
        <f t="shared" si="0"/>
        <v>Working</v>
      </c>
    </row>
    <row r="31" spans="1:18">
      <c r="A31" s="28" t="s">
        <v>68</v>
      </c>
      <c r="B31" s="23" t="s">
        <v>149</v>
      </c>
      <c r="C31" s="23" t="s">
        <v>150</v>
      </c>
      <c r="D31" s="23" t="s">
        <v>44</v>
      </c>
      <c r="E31" s="23">
        <v>53000</v>
      </c>
      <c r="F31" s="23">
        <v>25</v>
      </c>
      <c r="G31" s="23">
        <v>1</v>
      </c>
      <c r="H31" s="23" t="s">
        <v>45</v>
      </c>
      <c r="I31" s="23" t="s">
        <v>151</v>
      </c>
      <c r="J31" s="23" t="s">
        <v>152</v>
      </c>
      <c r="K31" s="23" t="s">
        <v>26</v>
      </c>
      <c r="L31" s="29" t="str">
        <f t="shared" si="0"/>
        <v>Not working</v>
      </c>
    </row>
    <row r="32" spans="1:18">
      <c r="A32" s="28" t="s">
        <v>11</v>
      </c>
      <c r="B32" s="23" t="s">
        <v>153</v>
      </c>
      <c r="C32" s="23" t="s">
        <v>154</v>
      </c>
      <c r="D32" s="23" t="s">
        <v>14</v>
      </c>
      <c r="E32" s="23">
        <v>53100</v>
      </c>
      <c r="F32" s="23">
        <v>26</v>
      </c>
      <c r="G32" s="23">
        <v>2</v>
      </c>
      <c r="H32" s="23" t="s">
        <v>15</v>
      </c>
      <c r="I32" s="23" t="s">
        <v>155</v>
      </c>
      <c r="J32" s="23" t="s">
        <v>156</v>
      </c>
      <c r="K32" s="23" t="s">
        <v>18</v>
      </c>
      <c r="L32" s="29" t="str">
        <f t="shared" si="0"/>
        <v>Working</v>
      </c>
    </row>
    <row r="33" spans="1:12">
      <c r="A33" s="28" t="s">
        <v>19</v>
      </c>
      <c r="B33" s="23" t="s">
        <v>157</v>
      </c>
      <c r="C33" s="23" t="s">
        <v>158</v>
      </c>
      <c r="D33" s="23" t="s">
        <v>22</v>
      </c>
      <c r="E33" s="23">
        <v>53200</v>
      </c>
      <c r="F33" s="23">
        <v>27</v>
      </c>
      <c r="G33" s="23">
        <v>3</v>
      </c>
      <c r="H33" s="23" t="s">
        <v>23</v>
      </c>
      <c r="I33" s="23" t="s">
        <v>159</v>
      </c>
      <c r="J33" s="23" t="s">
        <v>160</v>
      </c>
      <c r="K33" s="23" t="s">
        <v>26</v>
      </c>
      <c r="L33" s="29" t="str">
        <f t="shared" si="0"/>
        <v>Not working</v>
      </c>
    </row>
    <row r="34" spans="1:12">
      <c r="A34" s="28" t="s">
        <v>27</v>
      </c>
      <c r="B34" s="23" t="s">
        <v>161</v>
      </c>
      <c r="C34" s="23" t="s">
        <v>162</v>
      </c>
      <c r="D34" s="23" t="s">
        <v>30</v>
      </c>
      <c r="E34" s="23">
        <v>53300</v>
      </c>
      <c r="F34" s="23">
        <v>28</v>
      </c>
      <c r="G34" s="23">
        <v>4</v>
      </c>
      <c r="H34" s="23" t="s">
        <v>31</v>
      </c>
      <c r="I34" s="23" t="s">
        <v>163</v>
      </c>
      <c r="J34" s="23" t="s">
        <v>164</v>
      </c>
      <c r="K34" s="23" t="s">
        <v>18</v>
      </c>
      <c r="L34" s="29" t="str">
        <f t="shared" si="0"/>
        <v>Working</v>
      </c>
    </row>
    <row r="35" spans="1:12">
      <c r="A35" s="28" t="s">
        <v>34</v>
      </c>
      <c r="B35" s="23" t="s">
        <v>165</v>
      </c>
      <c r="C35" s="23" t="s">
        <v>106</v>
      </c>
      <c r="D35" s="23" t="s">
        <v>37</v>
      </c>
      <c r="E35" s="23">
        <v>53400</v>
      </c>
      <c r="F35" s="23">
        <v>29</v>
      </c>
      <c r="G35" s="23">
        <v>5</v>
      </c>
      <c r="H35" s="23" t="s">
        <v>38</v>
      </c>
      <c r="I35" s="23" t="s">
        <v>166</v>
      </c>
      <c r="J35" s="23" t="s">
        <v>167</v>
      </c>
      <c r="K35" s="23" t="s">
        <v>26</v>
      </c>
      <c r="L35" s="29" t="str">
        <f t="shared" si="0"/>
        <v>Not working</v>
      </c>
    </row>
    <row r="36" spans="1:12">
      <c r="A36" s="28" t="s">
        <v>41</v>
      </c>
      <c r="B36" s="23" t="s">
        <v>168</v>
      </c>
      <c r="C36" s="23" t="s">
        <v>94</v>
      </c>
      <c r="D36" s="23" t="s">
        <v>44</v>
      </c>
      <c r="E36" s="23">
        <v>53500</v>
      </c>
      <c r="F36" s="23">
        <v>30</v>
      </c>
      <c r="G36" s="23">
        <v>6</v>
      </c>
      <c r="H36" s="23" t="s">
        <v>45</v>
      </c>
      <c r="I36" s="23" t="s">
        <v>169</v>
      </c>
      <c r="J36" s="23" t="s">
        <v>170</v>
      </c>
      <c r="K36" s="23" t="s">
        <v>18</v>
      </c>
      <c r="L36" s="29" t="str">
        <f t="shared" si="0"/>
        <v>Working</v>
      </c>
    </row>
    <row r="37" spans="1:12">
      <c r="A37" s="28" t="s">
        <v>48</v>
      </c>
      <c r="B37" s="23" t="s">
        <v>171</v>
      </c>
      <c r="C37" s="23" t="s">
        <v>134</v>
      </c>
      <c r="D37" s="23" t="s">
        <v>14</v>
      </c>
      <c r="E37" s="23">
        <v>53600</v>
      </c>
      <c r="F37" s="23">
        <v>31</v>
      </c>
      <c r="G37" s="23">
        <v>7</v>
      </c>
      <c r="H37" s="23" t="s">
        <v>15</v>
      </c>
      <c r="I37" s="23" t="s">
        <v>172</v>
      </c>
      <c r="J37" s="23" t="s">
        <v>173</v>
      </c>
      <c r="K37" s="23" t="s">
        <v>26</v>
      </c>
      <c r="L37" s="29" t="str">
        <f t="shared" si="0"/>
        <v>Not working</v>
      </c>
    </row>
    <row r="38" spans="1:12">
      <c r="A38" s="28" t="s">
        <v>53</v>
      </c>
      <c r="B38" s="23" t="s">
        <v>174</v>
      </c>
      <c r="C38" s="23" t="s">
        <v>134</v>
      </c>
      <c r="D38" s="23" t="s">
        <v>22</v>
      </c>
      <c r="E38" s="23">
        <v>53700</v>
      </c>
      <c r="F38" s="23">
        <v>32</v>
      </c>
      <c r="G38" s="23">
        <v>8</v>
      </c>
      <c r="H38" s="23" t="s">
        <v>23</v>
      </c>
      <c r="I38" s="23" t="s">
        <v>175</v>
      </c>
      <c r="J38" s="23" t="s">
        <v>176</v>
      </c>
      <c r="K38" s="23" t="s">
        <v>18</v>
      </c>
      <c r="L38" s="29" t="str">
        <f t="shared" si="0"/>
        <v>Working</v>
      </c>
    </row>
    <row r="39" spans="1:12">
      <c r="A39" s="28" t="s">
        <v>58</v>
      </c>
      <c r="B39" s="23" t="s">
        <v>177</v>
      </c>
      <c r="C39" s="23" t="s">
        <v>178</v>
      </c>
      <c r="D39" s="23" t="s">
        <v>30</v>
      </c>
      <c r="E39" s="23">
        <v>53800</v>
      </c>
      <c r="F39" s="23">
        <v>33</v>
      </c>
      <c r="G39" s="23">
        <v>9</v>
      </c>
      <c r="H39" s="23" t="s">
        <v>31</v>
      </c>
      <c r="I39" s="23" t="s">
        <v>179</v>
      </c>
      <c r="J39" s="23" t="s">
        <v>180</v>
      </c>
      <c r="K39" s="23" t="s">
        <v>26</v>
      </c>
      <c r="L39" s="29" t="str">
        <f t="shared" si="0"/>
        <v>Not working</v>
      </c>
    </row>
    <row r="40" spans="1:12">
      <c r="A40" s="28" t="s">
        <v>63</v>
      </c>
      <c r="B40" s="23" t="s">
        <v>181</v>
      </c>
      <c r="C40" s="23" t="s">
        <v>118</v>
      </c>
      <c r="D40" s="23" t="s">
        <v>37</v>
      </c>
      <c r="E40" s="23">
        <v>53900</v>
      </c>
      <c r="F40" s="23">
        <v>34</v>
      </c>
      <c r="G40" s="23">
        <v>10</v>
      </c>
      <c r="H40" s="23" t="s">
        <v>38</v>
      </c>
      <c r="I40" s="23" t="s">
        <v>182</v>
      </c>
      <c r="J40" s="23" t="s">
        <v>183</v>
      </c>
      <c r="K40" s="23" t="s">
        <v>18</v>
      </c>
      <c r="L40" s="29" t="str">
        <f t="shared" si="0"/>
        <v>Working</v>
      </c>
    </row>
    <row r="41" spans="1:12">
      <c r="A41" s="28" t="s">
        <v>68</v>
      </c>
      <c r="B41" s="23" t="s">
        <v>184</v>
      </c>
      <c r="C41" s="23" t="s">
        <v>185</v>
      </c>
      <c r="D41" s="23" t="s">
        <v>44</v>
      </c>
      <c r="E41" s="23">
        <v>54000</v>
      </c>
      <c r="F41" s="23">
        <v>25</v>
      </c>
      <c r="G41" s="23">
        <v>11</v>
      </c>
      <c r="H41" s="23" t="s">
        <v>45</v>
      </c>
      <c r="I41" s="23" t="s">
        <v>186</v>
      </c>
      <c r="J41" s="23" t="s">
        <v>187</v>
      </c>
      <c r="K41" s="23" t="s">
        <v>26</v>
      </c>
      <c r="L41" s="29" t="str">
        <f t="shared" si="0"/>
        <v>Not working</v>
      </c>
    </row>
    <row r="42" spans="1:12">
      <c r="A42" s="28" t="s">
        <v>11</v>
      </c>
      <c r="B42" s="23" t="s">
        <v>188</v>
      </c>
      <c r="C42" s="23" t="s">
        <v>189</v>
      </c>
      <c r="D42" s="23" t="s">
        <v>14</v>
      </c>
      <c r="E42" s="23">
        <v>54100</v>
      </c>
      <c r="F42" s="23">
        <v>26</v>
      </c>
      <c r="G42" s="23">
        <v>12</v>
      </c>
      <c r="H42" s="23" t="s">
        <v>15</v>
      </c>
      <c r="I42" s="23" t="s">
        <v>190</v>
      </c>
      <c r="J42" s="23" t="s">
        <v>191</v>
      </c>
      <c r="K42" s="23" t="s">
        <v>18</v>
      </c>
      <c r="L42" s="29" t="str">
        <f t="shared" si="0"/>
        <v>Working</v>
      </c>
    </row>
    <row r="43" spans="1:12">
      <c r="A43" s="28" t="s">
        <v>19</v>
      </c>
      <c r="B43" s="23" t="s">
        <v>192</v>
      </c>
      <c r="C43" s="23" t="s">
        <v>193</v>
      </c>
      <c r="D43" s="23" t="s">
        <v>22</v>
      </c>
      <c r="E43" s="23">
        <v>54200</v>
      </c>
      <c r="F43" s="23">
        <v>27</v>
      </c>
      <c r="G43" s="23">
        <v>13</v>
      </c>
      <c r="H43" s="23" t="s">
        <v>23</v>
      </c>
      <c r="I43" s="23" t="s">
        <v>194</v>
      </c>
      <c r="J43" s="23" t="s">
        <v>195</v>
      </c>
      <c r="K43" s="23" t="s">
        <v>26</v>
      </c>
      <c r="L43" s="29" t="str">
        <f t="shared" si="0"/>
        <v>Not working</v>
      </c>
    </row>
    <row r="44" spans="1:12">
      <c r="A44" s="28" t="s">
        <v>27</v>
      </c>
      <c r="B44" s="23" t="s">
        <v>196</v>
      </c>
      <c r="C44" s="23" t="s">
        <v>146</v>
      </c>
      <c r="D44" s="23" t="s">
        <v>30</v>
      </c>
      <c r="E44" s="23">
        <v>54300</v>
      </c>
      <c r="F44" s="23">
        <v>28</v>
      </c>
      <c r="G44" s="23">
        <v>14</v>
      </c>
      <c r="H44" s="23" t="s">
        <v>31</v>
      </c>
      <c r="I44" s="23" t="s">
        <v>197</v>
      </c>
      <c r="J44" s="23" t="s">
        <v>198</v>
      </c>
      <c r="K44" s="23" t="s">
        <v>18</v>
      </c>
      <c r="L44" s="29" t="str">
        <f t="shared" si="0"/>
        <v>Working</v>
      </c>
    </row>
    <row r="45" spans="1:12">
      <c r="A45" s="28" t="s">
        <v>34</v>
      </c>
      <c r="B45" s="23" t="s">
        <v>199</v>
      </c>
      <c r="C45" s="23" t="s">
        <v>200</v>
      </c>
      <c r="D45" s="23" t="s">
        <v>37</v>
      </c>
      <c r="E45" s="23">
        <v>54400</v>
      </c>
      <c r="F45" s="23">
        <v>29</v>
      </c>
      <c r="G45" s="23">
        <v>15</v>
      </c>
      <c r="H45" s="23" t="s">
        <v>38</v>
      </c>
      <c r="I45" s="23" t="s">
        <v>201</v>
      </c>
      <c r="J45" s="23" t="s">
        <v>202</v>
      </c>
      <c r="K45" s="23" t="s">
        <v>26</v>
      </c>
      <c r="L45" s="29" t="str">
        <f t="shared" si="0"/>
        <v>Not working</v>
      </c>
    </row>
    <row r="46" spans="1:12">
      <c r="A46" s="28" t="s">
        <v>41</v>
      </c>
      <c r="B46" s="23" t="s">
        <v>203</v>
      </c>
      <c r="C46" s="23" t="s">
        <v>204</v>
      </c>
      <c r="D46" s="23" t="s">
        <v>44</v>
      </c>
      <c r="E46" s="23">
        <v>54500</v>
      </c>
      <c r="F46" s="23">
        <v>30</v>
      </c>
      <c r="G46" s="23">
        <v>1</v>
      </c>
      <c r="H46" s="23" t="s">
        <v>45</v>
      </c>
      <c r="I46" s="23" t="s">
        <v>205</v>
      </c>
      <c r="J46" s="23" t="s">
        <v>206</v>
      </c>
      <c r="K46" s="23" t="s">
        <v>18</v>
      </c>
      <c r="L46" s="29" t="str">
        <f t="shared" si="0"/>
        <v>Working</v>
      </c>
    </row>
    <row r="47" spans="1:12">
      <c r="A47" s="28" t="s">
        <v>48</v>
      </c>
      <c r="B47" s="23" t="s">
        <v>207</v>
      </c>
      <c r="C47" s="23" t="s">
        <v>82</v>
      </c>
      <c r="D47" s="23" t="s">
        <v>14</v>
      </c>
      <c r="E47" s="23">
        <v>54600</v>
      </c>
      <c r="F47" s="23">
        <v>31</v>
      </c>
      <c r="G47" s="23">
        <v>2</v>
      </c>
      <c r="H47" s="23" t="s">
        <v>15</v>
      </c>
      <c r="I47" s="23" t="s">
        <v>208</v>
      </c>
      <c r="J47" s="23" t="s">
        <v>209</v>
      </c>
      <c r="K47" s="23" t="s">
        <v>26</v>
      </c>
      <c r="L47" s="29" t="str">
        <f t="shared" si="0"/>
        <v>Not working</v>
      </c>
    </row>
    <row r="48" spans="1:12">
      <c r="A48" s="28" t="s">
        <v>53</v>
      </c>
      <c r="B48" s="23" t="s">
        <v>210</v>
      </c>
      <c r="C48" s="23" t="s">
        <v>74</v>
      </c>
      <c r="D48" s="23" t="s">
        <v>22</v>
      </c>
      <c r="E48" s="23">
        <v>54700</v>
      </c>
      <c r="F48" s="23">
        <v>32</v>
      </c>
      <c r="G48" s="23">
        <v>3</v>
      </c>
      <c r="H48" s="23" t="s">
        <v>23</v>
      </c>
      <c r="I48" s="23" t="s">
        <v>211</v>
      </c>
      <c r="J48" s="23" t="s">
        <v>212</v>
      </c>
      <c r="K48" s="23" t="s">
        <v>18</v>
      </c>
      <c r="L48" s="29" t="str">
        <f t="shared" si="0"/>
        <v>Working</v>
      </c>
    </row>
    <row r="49" spans="1:12">
      <c r="A49" s="28" t="s">
        <v>58</v>
      </c>
      <c r="B49" s="23" t="s">
        <v>213</v>
      </c>
      <c r="C49" s="23" t="s">
        <v>90</v>
      </c>
      <c r="D49" s="23" t="s">
        <v>30</v>
      </c>
      <c r="E49" s="23">
        <v>54800</v>
      </c>
      <c r="F49" s="23">
        <v>33</v>
      </c>
      <c r="G49" s="23">
        <v>4</v>
      </c>
      <c r="H49" s="23" t="s">
        <v>31</v>
      </c>
      <c r="I49" s="23" t="s">
        <v>214</v>
      </c>
      <c r="J49" s="23" t="s">
        <v>215</v>
      </c>
      <c r="K49" s="23" t="s">
        <v>26</v>
      </c>
      <c r="L49" s="29" t="str">
        <f t="shared" si="0"/>
        <v>Not working</v>
      </c>
    </row>
    <row r="50" spans="1:12">
      <c r="A50" s="28" t="s">
        <v>63</v>
      </c>
      <c r="B50" s="23" t="s">
        <v>216</v>
      </c>
      <c r="C50" s="23" t="s">
        <v>217</v>
      </c>
      <c r="D50" s="23" t="s">
        <v>37</v>
      </c>
      <c r="E50" s="23">
        <v>54900</v>
      </c>
      <c r="F50" s="23">
        <v>34</v>
      </c>
      <c r="G50" s="23">
        <v>5</v>
      </c>
      <c r="H50" s="23" t="s">
        <v>38</v>
      </c>
      <c r="I50" s="23" t="s">
        <v>218</v>
      </c>
      <c r="J50" s="23" t="s">
        <v>219</v>
      </c>
      <c r="K50" s="23" t="s">
        <v>18</v>
      </c>
      <c r="L50" s="29" t="str">
        <f t="shared" si="0"/>
        <v>Working</v>
      </c>
    </row>
    <row r="51" spans="1:12">
      <c r="A51" s="30" t="s">
        <v>68</v>
      </c>
      <c r="B51" s="31" t="s">
        <v>220</v>
      </c>
      <c r="C51" s="31" t="s">
        <v>102</v>
      </c>
      <c r="D51" s="31" t="s">
        <v>44</v>
      </c>
      <c r="E51" s="31">
        <v>55000</v>
      </c>
      <c r="F51" s="31">
        <v>25</v>
      </c>
      <c r="G51" s="31">
        <v>6</v>
      </c>
      <c r="H51" s="31" t="s">
        <v>45</v>
      </c>
      <c r="I51" s="31" t="s">
        <v>221</v>
      </c>
      <c r="J51" s="31" t="s">
        <v>222</v>
      </c>
      <c r="K51" s="31" t="s">
        <v>26</v>
      </c>
      <c r="L51" s="32" t="str">
        <f t="shared" si="0"/>
        <v>Not working</v>
      </c>
    </row>
  </sheetData>
  <conditionalFormatting sqref="E2:E51">
    <cfRule type="cellIs" dxfId="2" priority="3" operator="greaterThan">
      <formula>50500</formula>
    </cfRule>
  </conditionalFormatting>
  <conditionalFormatting sqref="K2:K51">
    <cfRule type="containsText" dxfId="1" priority="2" operator="containsText" text="inactive">
      <formula>NOT(ISERROR(SEARCH("inactive",K2)))</formula>
    </cfRule>
  </conditionalFormatting>
  <conditionalFormatting sqref="C2:C5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muzafar mohiuddin</cp:lastModifiedBy>
  <cp:revision/>
  <dcterms:created xsi:type="dcterms:W3CDTF">2026-09-21T08:46:40Z</dcterms:created>
  <dcterms:modified xsi:type="dcterms:W3CDTF">2026-09-23T09:25:16Z</dcterms:modified>
  <cp:category/>
  <cp:contentStatus/>
</cp:coreProperties>
</file>