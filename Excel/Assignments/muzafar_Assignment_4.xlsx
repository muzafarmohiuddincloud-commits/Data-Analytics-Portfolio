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258" documentId="11_0F3B7CDC1C5B97D49B8B35155189B730470F4173" xr6:coauthVersionLast="47" xr6:coauthVersionMax="47" xr10:uidLastSave="{BD9E3375-5A6E-4808-A848-AE279DE40341}"/>
  <bookViews>
    <workbookView xWindow="0" yWindow="0" windowWidth="0" windowHeight="0" firstSheet="23" activeTab="24" xr2:uid="{00000000-000D-0000-FFFF-FFFF00000000}"/>
  </bookViews>
  <sheets>
    <sheet name="Data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" sheetId="17" r:id="rId17"/>
    <sheet name="Q17" sheetId="18" r:id="rId18"/>
    <sheet name="Q18" sheetId="19" r:id="rId19"/>
    <sheet name="Q19" sheetId="20" r:id="rId20"/>
    <sheet name="Q20" sheetId="21" r:id="rId21"/>
    <sheet name="Q21" sheetId="22" r:id="rId22"/>
    <sheet name="Q22" sheetId="23" r:id="rId23"/>
    <sheet name="Q23" sheetId="24" r:id="rId24"/>
    <sheet name="Q24" sheetId="25" r:id="rId25"/>
    <sheet name="Q25" sheetId="26" r:id="rId26"/>
  </sheets>
  <definedNames>
    <definedName name="_xlnm._FilterDatabase" localSheetId="10" hidden="1">'Q10'!$A$3:$L$43</definedName>
    <definedName name="_xlnm._FilterDatabase" localSheetId="13" hidden="1">'Q13'!$B$5:$L$45</definedName>
    <definedName name="ANAND">Data!$C$4:$D$44</definedName>
    <definedName name="ga">Data!$B$4:$M$44</definedName>
    <definedName name="SURESH">Data!$C$4:$G$44</definedName>
  </definedNames>
  <calcPr calcId="191028"/>
  <pivotCaches>
    <pivotCache cacheId="757" r:id="rId27"/>
    <pivotCache cacheId="758" r:id="rId28"/>
    <pivotCache cacheId="797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0" roundtripDataChecksum="AcMegZj7Cgt94PSwxFzDYRumoghQ/pVYfnZw+vRLH0k="/>
    </ext>
  </extLst>
</workbook>
</file>

<file path=xl/calcChain.xml><?xml version="1.0" encoding="utf-8"?>
<calcChain xmlns="http://schemas.openxmlformats.org/spreadsheetml/2006/main">
  <c r="D6" i="26" l="1"/>
  <c r="D5" i="26"/>
  <c r="D4" i="26"/>
  <c r="C5" i="26"/>
  <c r="C6" i="26"/>
  <c r="C4" i="26"/>
  <c r="G6" i="20"/>
  <c r="G7" i="20"/>
  <c r="G8" i="20"/>
  <c r="G9" i="20"/>
  <c r="G10" i="20"/>
  <c r="G11" i="20"/>
  <c r="G12" i="20"/>
  <c r="G13" i="20"/>
  <c r="G5" i="20"/>
  <c r="F6" i="20" a="1"/>
  <c r="F6" i="20"/>
  <c r="F7" i="20" a="1"/>
  <c r="F7" i="20"/>
  <c r="F8" i="20" a="1"/>
  <c r="F8" i="20"/>
  <c r="F9" i="20" a="1"/>
  <c r="F9" i="20"/>
  <c r="F10" i="20" a="1"/>
  <c r="F10" i="20"/>
  <c r="F11" i="20" a="1"/>
  <c r="F11" i="20"/>
  <c r="F12" i="20" a="1"/>
  <c r="F12" i="20"/>
  <c r="F13" i="20" a="1"/>
  <c r="F13" i="20"/>
  <c r="F5" i="20" a="1"/>
  <c r="F5" i="20"/>
  <c r="I4" i="22"/>
  <c r="I3" i="22"/>
  <c r="I4" i="21"/>
  <c r="E4" i="21"/>
  <c r="I5" i="19" a="1"/>
  <c r="I5" i="19"/>
  <c r="I6" i="19" a="1"/>
  <c r="I6" i="19"/>
  <c r="I7" i="19" a="1"/>
  <c r="I7" i="19"/>
  <c r="I8" i="19" a="1"/>
  <c r="I8" i="19"/>
  <c r="I9" i="19" a="1"/>
  <c r="I9" i="19"/>
  <c r="I10" i="19" a="1"/>
  <c r="I10" i="19"/>
  <c r="I11" i="19" a="1"/>
  <c r="I11" i="19"/>
  <c r="I12" i="19" a="1"/>
  <c r="I12" i="19"/>
  <c r="I13" i="19" a="1"/>
  <c r="I13" i="19"/>
  <c r="I14" i="19" a="1"/>
  <c r="I14" i="19"/>
  <c r="I15" i="19" a="1"/>
  <c r="I15" i="19"/>
  <c r="I16" i="19" a="1"/>
  <c r="I16" i="19"/>
  <c r="I17" i="19" a="1"/>
  <c r="I17" i="19"/>
  <c r="I18" i="19" a="1"/>
  <c r="I18" i="19"/>
  <c r="I19" i="19" a="1"/>
  <c r="I19" i="19"/>
  <c r="I20" i="19" a="1"/>
  <c r="I20" i="19"/>
  <c r="I21" i="19" a="1"/>
  <c r="I21" i="19"/>
  <c r="I22" i="19" a="1"/>
  <c r="I22" i="19"/>
  <c r="I23" i="19" a="1"/>
  <c r="I23" i="19"/>
  <c r="I24" i="19" a="1"/>
  <c r="I24" i="19"/>
  <c r="I25" i="19" a="1"/>
  <c r="I25" i="19"/>
  <c r="I26" i="19" a="1"/>
  <c r="I26" i="19"/>
  <c r="I27" i="19" a="1"/>
  <c r="I27" i="19"/>
  <c r="I28" i="19" a="1"/>
  <c r="I28" i="19"/>
  <c r="I29" i="19" a="1"/>
  <c r="I29" i="19"/>
  <c r="I30" i="19" a="1"/>
  <c r="I30" i="19"/>
  <c r="I31" i="19" a="1"/>
  <c r="I31" i="19"/>
  <c r="I32" i="19" a="1"/>
  <c r="I32" i="19"/>
  <c r="I33" i="19" a="1"/>
  <c r="I33" i="19"/>
  <c r="I34" i="19" a="1"/>
  <c r="I34" i="19"/>
  <c r="I35" i="19" a="1"/>
  <c r="I35" i="19"/>
  <c r="I36" i="19" a="1"/>
  <c r="I36" i="19"/>
  <c r="I37" i="19" a="1"/>
  <c r="I37" i="19"/>
  <c r="I38" i="19" a="1"/>
  <c r="I38" i="19"/>
  <c r="I39" i="19" a="1"/>
  <c r="I39" i="19"/>
  <c r="I40" i="19" a="1"/>
  <c r="I40" i="19"/>
  <c r="I41" i="19" a="1"/>
  <c r="I41" i="19"/>
  <c r="I42" i="19" a="1"/>
  <c r="I42" i="19"/>
  <c r="I43" i="19" a="1"/>
  <c r="I43" i="19"/>
  <c r="I4" i="19" a="1"/>
  <c r="I4" i="19"/>
  <c r="F4" i="16"/>
  <c r="H6" i="15"/>
  <c r="G6" i="15"/>
  <c r="I6" i="8"/>
  <c r="I7" i="8"/>
  <c r="I8" i="8"/>
  <c r="I9" i="8"/>
  <c r="I10" i="8"/>
  <c r="I5" i="8"/>
  <c r="H6" i="8"/>
  <c r="H7" i="8"/>
  <c r="H8" i="8"/>
  <c r="H9" i="8"/>
  <c r="H10" i="8"/>
  <c r="H5" i="8"/>
  <c r="F6" i="7"/>
  <c r="F5" i="7"/>
  <c r="F4" i="7"/>
  <c r="E9" i="6"/>
  <c r="E10" i="6"/>
  <c r="E11" i="6"/>
  <c r="E12" i="6"/>
  <c r="E13" i="6"/>
  <c r="E14" i="6"/>
  <c r="E15" i="6"/>
  <c r="E16" i="6"/>
  <c r="E8" i="6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5" i="4"/>
  <c r="G23" i="4" s="1"/>
  <c r="E11" i="3"/>
  <c r="E12" i="3"/>
  <c r="E13" i="3"/>
  <c r="E14" i="3"/>
  <c r="E15" i="3"/>
  <c r="E16" i="3"/>
  <c r="E17" i="3"/>
  <c r="E18" i="3"/>
  <c r="E19" i="3"/>
  <c r="E10" i="3"/>
  <c r="N9" i="2"/>
  <c r="N10" i="2"/>
  <c r="N11" i="2"/>
  <c r="N12" i="2"/>
  <c r="N13" i="2"/>
  <c r="N14" i="2"/>
  <c r="N15" i="2"/>
  <c r="N16" i="2"/>
  <c r="N17" i="2"/>
  <c r="N18" i="2"/>
  <c r="N19" i="2"/>
  <c r="N8" i="2"/>
  <c r="M9" i="2"/>
  <c r="M10" i="2"/>
  <c r="M11" i="2"/>
  <c r="M12" i="2"/>
  <c r="M13" i="2"/>
  <c r="M14" i="2"/>
  <c r="M15" i="2"/>
  <c r="M16" i="2"/>
  <c r="M17" i="2"/>
  <c r="M18" i="2"/>
  <c r="M19" i="2"/>
  <c r="M8" i="2"/>
  <c r="L9" i="2"/>
  <c r="L10" i="2"/>
  <c r="L11" i="2"/>
  <c r="L12" i="2"/>
  <c r="L13" i="2"/>
  <c r="L14" i="2"/>
  <c r="L15" i="2"/>
  <c r="L16" i="2"/>
  <c r="L17" i="2"/>
  <c r="L18" i="2"/>
  <c r="L19" i="2"/>
  <c r="L8" i="2"/>
  <c r="K9" i="2"/>
  <c r="K10" i="2"/>
  <c r="K11" i="2"/>
  <c r="K12" i="2"/>
  <c r="K13" i="2"/>
  <c r="K14" i="2"/>
  <c r="K15" i="2"/>
  <c r="K16" i="2"/>
  <c r="K17" i="2"/>
  <c r="K18" i="2"/>
  <c r="K19" i="2"/>
  <c r="K8" i="2"/>
  <c r="J9" i="2"/>
  <c r="J10" i="2"/>
  <c r="J11" i="2"/>
  <c r="J12" i="2"/>
  <c r="J13" i="2"/>
  <c r="J14" i="2"/>
  <c r="J15" i="2"/>
  <c r="J16" i="2"/>
  <c r="J17" i="2"/>
  <c r="J18" i="2"/>
  <c r="J19" i="2"/>
  <c r="J8" i="2"/>
  <c r="I9" i="2"/>
  <c r="I10" i="2"/>
  <c r="I11" i="2"/>
  <c r="I12" i="2"/>
  <c r="I13" i="2"/>
  <c r="I14" i="2"/>
  <c r="I15" i="2"/>
  <c r="I16" i="2"/>
  <c r="I17" i="2"/>
  <c r="I18" i="2"/>
  <c r="I19" i="2"/>
  <c r="I8" i="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I5" i="2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<sst xmlns="http://schemas.openxmlformats.org/spreadsheetml/2006/main" count="2138" uniqueCount="436">
  <si>
    <t>Previous Empolyee Details</t>
  </si>
  <si>
    <t>S.no</t>
  </si>
  <si>
    <t>Empolyee name</t>
  </si>
  <si>
    <t>Emp .ID</t>
  </si>
  <si>
    <t>Gender</t>
  </si>
  <si>
    <t>DOB</t>
  </si>
  <si>
    <t>Work Location</t>
  </si>
  <si>
    <t>Date Of Joing</t>
  </si>
  <si>
    <t>Date Of Resignation</t>
  </si>
  <si>
    <t>Salary</t>
  </si>
  <si>
    <t>Total Experience</t>
  </si>
  <si>
    <t>Emergency Contact Details</t>
  </si>
  <si>
    <t>Address</t>
  </si>
  <si>
    <t>suresh</t>
  </si>
  <si>
    <t>Male</t>
  </si>
  <si>
    <t>Kol</t>
  </si>
  <si>
    <t>amerpet</t>
  </si>
  <si>
    <t>naresh</t>
  </si>
  <si>
    <t>Female</t>
  </si>
  <si>
    <t>Hyd</t>
  </si>
  <si>
    <t>suncity</t>
  </si>
  <si>
    <t>mahesh</t>
  </si>
  <si>
    <t>Blr</t>
  </si>
  <si>
    <t>naveen</t>
  </si>
  <si>
    <t>linga reddy</t>
  </si>
  <si>
    <t>Chn</t>
  </si>
  <si>
    <t>sam reddy</t>
  </si>
  <si>
    <t>panjagutta</t>
  </si>
  <si>
    <t>pavan</t>
  </si>
  <si>
    <t>begumpet</t>
  </si>
  <si>
    <t>kishan</t>
  </si>
  <si>
    <t>harish</t>
  </si>
  <si>
    <t>hitechcity</t>
  </si>
  <si>
    <t>chandrashekr</t>
  </si>
  <si>
    <t>chintu</t>
  </si>
  <si>
    <t>banti</t>
  </si>
  <si>
    <t>nitin</t>
  </si>
  <si>
    <t>sampath</t>
  </si>
  <si>
    <t>sanjeev</t>
  </si>
  <si>
    <t>santosh</t>
  </si>
  <si>
    <t>anil</t>
  </si>
  <si>
    <t>raju</t>
  </si>
  <si>
    <t>mahendar</t>
  </si>
  <si>
    <t>venkatesh</t>
  </si>
  <si>
    <t>Nikhil</t>
  </si>
  <si>
    <t>sowkya</t>
  </si>
  <si>
    <t>Rani</t>
  </si>
  <si>
    <t>Tharun</t>
  </si>
  <si>
    <t>Laxmi.Panimanishi</t>
  </si>
  <si>
    <t>ushakka</t>
  </si>
  <si>
    <t>snadya</t>
  </si>
  <si>
    <t>rahu</t>
  </si>
  <si>
    <t>sayyad</t>
  </si>
  <si>
    <t>tabassum</t>
  </si>
  <si>
    <t>sunny</t>
  </si>
  <si>
    <t>vinny</t>
  </si>
  <si>
    <t>chinni</t>
  </si>
  <si>
    <t>vijay</t>
  </si>
  <si>
    <t>shashi</t>
  </si>
  <si>
    <t>prashi</t>
  </si>
  <si>
    <t>kranthi</t>
  </si>
  <si>
    <t>pullaiah</t>
  </si>
  <si>
    <t>Naresh</t>
  </si>
  <si>
    <t>vikas</t>
  </si>
  <si>
    <t>Q1. Given below are the Marks obtained by students</t>
  </si>
  <si>
    <t>Using excel functions populate the Total, Percentage, Highest, Lowest, Average and Result (pass/fail) based on condition shown below: (6 marks)</t>
  </si>
  <si>
    <t>&gt;=35 %</t>
  </si>
  <si>
    <t>Pass</t>
  </si>
  <si>
    <t>&lt;35 %</t>
  </si>
  <si>
    <t>Fail</t>
  </si>
  <si>
    <t>Sl.No</t>
  </si>
  <si>
    <t>Student Name</t>
  </si>
  <si>
    <t>Sub - 1</t>
  </si>
  <si>
    <t>Sub - 2</t>
  </si>
  <si>
    <t>Sub - 3</t>
  </si>
  <si>
    <t>Sub - 4</t>
  </si>
  <si>
    <t>Sub - 5</t>
  </si>
  <si>
    <t>Sub - 6</t>
  </si>
  <si>
    <t>Total</t>
  </si>
  <si>
    <t>%tage</t>
  </si>
  <si>
    <t>Highest</t>
  </si>
  <si>
    <t>Lowest</t>
  </si>
  <si>
    <t>Average</t>
  </si>
  <si>
    <t>Result</t>
  </si>
  <si>
    <t>A GOTHAVARI AMMAL</t>
  </si>
  <si>
    <t>A K GUPTA</t>
  </si>
  <si>
    <t>A K MITTAL HUF</t>
  </si>
  <si>
    <t>A RAJESH KUMAR</t>
  </si>
  <si>
    <t>A RAMAA</t>
  </si>
  <si>
    <t>A S GANESAN</t>
  </si>
  <si>
    <t>A SUBRAMONEY</t>
  </si>
  <si>
    <t>A VAMANAN</t>
  </si>
  <si>
    <t xml:space="preserve">AAKASH </t>
  </si>
  <si>
    <t>AAKEEN ASHIR DOSHI</t>
  </si>
  <si>
    <t>AALIYA SALMAN NENSEY</t>
  </si>
  <si>
    <t>AARATI BHUSHAN LIMAYE</t>
  </si>
  <si>
    <t>Q2. Use excel functions with the below conditions and derive the Person Status</t>
  </si>
  <si>
    <t>::</t>
  </si>
  <si>
    <t>Condition</t>
  </si>
  <si>
    <t>&gt;=60</t>
  </si>
  <si>
    <t>Old</t>
  </si>
  <si>
    <t>&gt;=30 &amp; &lt;=59</t>
  </si>
  <si>
    <t>Middle</t>
  </si>
  <si>
    <t>&gt;=18 &amp; &lt;=29</t>
  </si>
  <si>
    <t>Young</t>
  </si>
  <si>
    <t>&lt;18</t>
  </si>
  <si>
    <t>Child</t>
  </si>
  <si>
    <t>SL.No</t>
  </si>
  <si>
    <t>Age</t>
  </si>
  <si>
    <t>Name</t>
  </si>
  <si>
    <t>Person Status</t>
  </si>
  <si>
    <t>RASIKLAL JETHALAL CHHAPAN</t>
  </si>
  <si>
    <t>SAROJ RASIKLAL CHHAPAN</t>
  </si>
  <si>
    <t>MAULIK VINODCHANDRA JADAWALA</t>
  </si>
  <si>
    <t>JIGAR BHUPESH CHHAPAN</t>
  </si>
  <si>
    <t>HIMANSHU JOSHI</t>
  </si>
  <si>
    <t>GEETA VASHISHTHA DESAI</t>
  </si>
  <si>
    <t>HITENDRA RAJNIKANT DAVE</t>
  </si>
  <si>
    <t>ARUNA V GARG</t>
  </si>
  <si>
    <t>DHAVAL NATVARLAL SHAH</t>
  </si>
  <si>
    <t>NATVARLAL HIRALAL SHAH</t>
  </si>
  <si>
    <t>Q3. Based on the raw data below calculate Total Amount &amp; Total Count per each Area (Category).</t>
  </si>
  <si>
    <t>Raw Data</t>
  </si>
  <si>
    <t>Area</t>
  </si>
  <si>
    <t>Total  Amount</t>
  </si>
  <si>
    <t>Total Count</t>
  </si>
  <si>
    <t>Sub Area</t>
  </si>
  <si>
    <t>grossamt</t>
  </si>
  <si>
    <t xml:space="preserve">No Area Given </t>
  </si>
  <si>
    <t>Hardware</t>
  </si>
  <si>
    <t>Damaged-Malfunctioned</t>
  </si>
  <si>
    <t>AirWatch</t>
  </si>
  <si>
    <t>Complete System</t>
  </si>
  <si>
    <t>Client Specific</t>
  </si>
  <si>
    <t>Usage</t>
  </si>
  <si>
    <t>Connectivity</t>
  </si>
  <si>
    <t>Off the Shelf</t>
  </si>
  <si>
    <t>Windows 7</t>
  </si>
  <si>
    <t>Email</t>
  </si>
  <si>
    <t xml:space="preserve"> No Sub Area Given </t>
  </si>
  <si>
    <t>Field Planning</t>
  </si>
  <si>
    <t>iPad - Hardware</t>
  </si>
  <si>
    <t>Lost/Stolen</t>
  </si>
  <si>
    <t>Veeva</t>
  </si>
  <si>
    <t>Calls</t>
  </si>
  <si>
    <t>Hardware - iPad</t>
  </si>
  <si>
    <t>Request</t>
  </si>
  <si>
    <t>iPad</t>
  </si>
  <si>
    <t>iPad - Connectivity</t>
  </si>
  <si>
    <t>Accounts</t>
  </si>
  <si>
    <t>iPad - Software</t>
  </si>
  <si>
    <t>Damaged/Malfunctioned</t>
  </si>
  <si>
    <t>iPhone</t>
  </si>
  <si>
    <t>iRep</t>
  </si>
  <si>
    <t>Events</t>
  </si>
  <si>
    <t>Microsoft Dynamics</t>
  </si>
  <si>
    <t>Installation</t>
  </si>
  <si>
    <t>Send-Receive</t>
  </si>
  <si>
    <t>Vmobile</t>
  </si>
  <si>
    <t>Application</t>
  </si>
  <si>
    <t>Wireless</t>
  </si>
  <si>
    <t>Applications</t>
  </si>
  <si>
    <t>Samples</t>
  </si>
  <si>
    <t>Reports</t>
  </si>
  <si>
    <t>Configuration</t>
  </si>
  <si>
    <t>VPN</t>
  </si>
  <si>
    <t>General Usage</t>
  </si>
  <si>
    <t>Flash</t>
  </si>
  <si>
    <t>Errors</t>
  </si>
  <si>
    <t>BlackBerry</t>
  </si>
  <si>
    <t>Printer</t>
  </si>
  <si>
    <t>Login</t>
  </si>
  <si>
    <t xml:space="preserve"> Mobile Iron</t>
  </si>
  <si>
    <t>Concur</t>
  </si>
  <si>
    <t>Intranet</t>
  </si>
  <si>
    <t>Operating System</t>
  </si>
  <si>
    <t xml:space="preserve"> WebEx</t>
  </si>
  <si>
    <t>iCertify</t>
  </si>
  <si>
    <t>Synchronization-Replication</t>
  </si>
  <si>
    <t>Lost-Stolen</t>
  </si>
  <si>
    <t>Microsoft Word</t>
  </si>
  <si>
    <t>Equity Edge</t>
  </si>
  <si>
    <t>Cisco</t>
  </si>
  <si>
    <t>Other</t>
  </si>
  <si>
    <t>Intranet-SharePoint</t>
  </si>
  <si>
    <t>Cisco WebEx</t>
  </si>
  <si>
    <t>Cisco WebEx Connect IM</t>
  </si>
  <si>
    <t>Misc Software</t>
  </si>
  <si>
    <t>Targeting</t>
  </si>
  <si>
    <t>ICP</t>
  </si>
  <si>
    <t>Unsupported</t>
  </si>
  <si>
    <t>Budgets</t>
  </si>
  <si>
    <t>The Source</t>
  </si>
  <si>
    <t>Combined Inquiries</t>
  </si>
  <si>
    <t>Analytics</t>
  </si>
  <si>
    <t>Views</t>
  </si>
  <si>
    <t>FedEx Inquiry</t>
  </si>
  <si>
    <t>Search Doctor</t>
  </si>
  <si>
    <t>FBRs</t>
  </si>
  <si>
    <t>Data Investigation</t>
  </si>
  <si>
    <t>Coaching Reports</t>
  </si>
  <si>
    <t>Internet Browser</t>
  </si>
  <si>
    <t>AHM</t>
  </si>
  <si>
    <t>Excel</t>
  </si>
  <si>
    <t>Q4. Split the Name given in the column as shown in example below using excel functions only</t>
  </si>
  <si>
    <t>Example</t>
  </si>
  <si>
    <t>First Name</t>
  </si>
  <si>
    <t>Last Name</t>
  </si>
  <si>
    <t>ALEX ROBERTS</t>
  </si>
  <si>
    <t>ALEX</t>
  </si>
  <si>
    <t>ROBERTS</t>
  </si>
  <si>
    <t>Split</t>
  </si>
  <si>
    <t>S.No</t>
  </si>
  <si>
    <t>RASIKLAL JETHALAL</t>
  </si>
  <si>
    <t>RASIKLAL</t>
  </si>
  <si>
    <t>JETHALAL</t>
  </si>
  <si>
    <t>SAROJ RASIKLAL</t>
  </si>
  <si>
    <t>SAROJ</t>
  </si>
  <si>
    <t>MAULIK VINODCHANDRA</t>
  </si>
  <si>
    <t>MAULIK</t>
  </si>
  <si>
    <t>VINODCHANDRA</t>
  </si>
  <si>
    <t>Note-ctrl + e know as flash fill</t>
  </si>
  <si>
    <t>JIGAR BHUPESH</t>
  </si>
  <si>
    <t>JIGAR</t>
  </si>
  <si>
    <t>BHUPESH</t>
  </si>
  <si>
    <t>HIMANSHU</t>
  </si>
  <si>
    <t>JOSHI</t>
  </si>
  <si>
    <t>GEETA VASHISHTHA</t>
  </si>
  <si>
    <t>GEETA</t>
  </si>
  <si>
    <t>VASHISHTHA</t>
  </si>
  <si>
    <t>HITENDRA RAJNIKANT</t>
  </si>
  <si>
    <t>HITENDRA</t>
  </si>
  <si>
    <t>RAJNIKANT</t>
  </si>
  <si>
    <t>ARUNA GARG</t>
  </si>
  <si>
    <t>ARUNA</t>
  </si>
  <si>
    <t>GARG</t>
  </si>
  <si>
    <t>DHAVAL NATVARLAL</t>
  </si>
  <si>
    <t>DHAVAL</t>
  </si>
  <si>
    <t>NATVARLAL</t>
  </si>
  <si>
    <t>NATVARLAL HIRALAL</t>
  </si>
  <si>
    <t>HIRALAL</t>
  </si>
  <si>
    <t xml:space="preserve">Q5. Concatenate Category, Area, Sub Area with and separate with '/' (slash) </t>
  </si>
  <si>
    <t>Category</t>
  </si>
  <si>
    <t>CONCATENATE WITH SLASH ( / )</t>
  </si>
  <si>
    <t>Hardware/Damaged-Malfunctioned/Printer</t>
  </si>
  <si>
    <t>Return to Inventory</t>
  </si>
  <si>
    <t>Logon</t>
  </si>
  <si>
    <t xml:space="preserve"> No Area Given </t>
  </si>
  <si>
    <t xml:space="preserve"> No SubSubArea Given </t>
  </si>
  <si>
    <t>Miscellaneous Items</t>
  </si>
  <si>
    <t>Missing</t>
  </si>
  <si>
    <t>Expenses</t>
  </si>
  <si>
    <t>Q6. Using excel functions calcuate Number Count (Cells which contains only numeric value), Blank Count (Count of Blank Cells only), Non-Blank Count (No. of cells without blanks)</t>
  </si>
  <si>
    <t>TERRITORY</t>
  </si>
  <si>
    <t>NUMBER COUNT</t>
  </si>
  <si>
    <t>V202004</t>
  </si>
  <si>
    <t>BLANK COUNT</t>
  </si>
  <si>
    <t>NON-BLANK COUNT</t>
  </si>
  <si>
    <t>V203004</t>
  </si>
  <si>
    <t>V203009</t>
  </si>
  <si>
    <t>10307 Wilmington, NC</t>
  </si>
  <si>
    <t>40306 South Texas</t>
  </si>
  <si>
    <t>40300 West</t>
  </si>
  <si>
    <t>10401 Allentown, PA</t>
  </si>
  <si>
    <t>20604 Naples, FL</t>
  </si>
  <si>
    <t>40206 Lower South Central</t>
  </si>
  <si>
    <t>30206 Lubbock, TX</t>
  </si>
  <si>
    <t>30507 San Antonio W, TX</t>
  </si>
  <si>
    <t>10501 Brooklyn, NY</t>
  </si>
  <si>
    <t>30304 San Francisco, CA</t>
  </si>
  <si>
    <t>10409 Trenton, NJ</t>
  </si>
  <si>
    <t>40202 Southeast Florida</t>
  </si>
  <si>
    <t>10209 N Washington, DC - Acade</t>
  </si>
  <si>
    <t>20409 Paducah, KY</t>
  </si>
  <si>
    <t>40106 Northeast</t>
  </si>
  <si>
    <t>Q7. Using VLookUp function populate the Name and Broker Name against the IH No. provided in Table 2.</t>
  </si>
  <si>
    <t>Table 1</t>
  </si>
  <si>
    <t>Table 2</t>
  </si>
  <si>
    <t>IH.No</t>
  </si>
  <si>
    <t>Amount</t>
  </si>
  <si>
    <t>Broker Code</t>
  </si>
  <si>
    <t>Broker Name</t>
  </si>
  <si>
    <t>KEKI BURJORJI PATEL</t>
  </si>
  <si>
    <t>ARN-88989</t>
  </si>
  <si>
    <t>IMPERIAL CAPITAL ADVISORS PRIVATE LIMITED</t>
  </si>
  <si>
    <t>HOOFRISH KEKI PATEL</t>
  </si>
  <si>
    <t>PERIN KEKI PATEL</t>
  </si>
  <si>
    <t>JAMSHID NAVAL PANDOLE</t>
  </si>
  <si>
    <t>000000-0</t>
  </si>
  <si>
    <t>DIRECT</t>
  </si>
  <si>
    <t>JAYANTKUMAR ASHAR</t>
  </si>
  <si>
    <t>BURJOR HOMI DANDIWALA PMS</t>
  </si>
  <si>
    <t>MR.RAVIKUMAR KRISHNAMURTHI</t>
  </si>
  <si>
    <t>MS.RAJANI KRISHNAMURTHY IYER</t>
  </si>
  <si>
    <t>DINESH VASANTRAI BHUTA</t>
  </si>
  <si>
    <t>MAQSOODA NOORUDIN TAWA</t>
  </si>
  <si>
    <t>ARN-12433</t>
  </si>
  <si>
    <t>PRITHVI SECURITIES</t>
  </si>
  <si>
    <t>CHETAN VINAY NIMKAR</t>
  </si>
  <si>
    <t>ARN-4484</t>
  </si>
  <si>
    <t>BLUE CHIP INVESTMENTS</t>
  </si>
  <si>
    <t>LAXMI J MUNDKUR</t>
  </si>
  <si>
    <t>ARN-4633</t>
  </si>
  <si>
    <t>RAMESH BISWAS M</t>
  </si>
  <si>
    <t>RAJNIKANT DESAI</t>
  </si>
  <si>
    <t>ARN-87848</t>
  </si>
  <si>
    <t>K P ASHOK KUMAR</t>
  </si>
  <si>
    <t>ARN-18747</t>
  </si>
  <si>
    <t>PALANI DHAMODAR</t>
  </si>
  <si>
    <t>D S INTEGRATED FINSEC PVT LTD</t>
  </si>
  <si>
    <t>ARN-4659</t>
  </si>
  <si>
    <t>SANJAY SHASHIKANTBHAI MEHTA</t>
  </si>
  <si>
    <t>GSD TRADING &amp; FINANCIAL SERVICES PVT LTD</t>
  </si>
  <si>
    <t>IDBI BANK LTD</t>
  </si>
  <si>
    <t>LCGC BIOANALYTIC SOLUTIONS LLP</t>
  </si>
  <si>
    <t>ARN-0002</t>
  </si>
  <si>
    <t>JM Financial Services Limited</t>
  </si>
  <si>
    <t>PRAVEEN CHANDRA RAMAMURTHY</t>
  </si>
  <si>
    <t>ARN-77798</t>
  </si>
  <si>
    <t>KESARI G SHARMA</t>
  </si>
  <si>
    <t>RIDDHI SIDDHI GLUCO BIOLS LIMITED</t>
  </si>
  <si>
    <t>Q8. Using Data Validation create a Drop-Down List in Cell D3</t>
  </si>
  <si>
    <t>List</t>
  </si>
  <si>
    <t>Q9. Create a Pivot table for Open &amp; Closed Area Count by Level Wise</t>
  </si>
  <si>
    <t>Status</t>
  </si>
  <si>
    <t>ResolvedBy</t>
  </si>
  <si>
    <t>Resolution Level</t>
  </si>
  <si>
    <t>Open</t>
  </si>
  <si>
    <t>C3i Helpdesk</t>
  </si>
  <si>
    <t>Level 3</t>
  </si>
  <si>
    <t>Level 2</t>
  </si>
  <si>
    <t>Count of Area</t>
  </si>
  <si>
    <t>Closed</t>
  </si>
  <si>
    <t>Grand Total</t>
  </si>
  <si>
    <t>Level 1</t>
  </si>
  <si>
    <t>Filter the specific by hyd city</t>
  </si>
  <si>
    <t>Arrange the data Largest to Smallest order by salary</t>
  </si>
  <si>
    <t>Highlight the duplicate the values by using conditional formatting (Light Green colour)</t>
  </si>
  <si>
    <t>Highlight the cells greather than 25000 salary by green colour</t>
  </si>
  <si>
    <t>Count the female and bng empolyees data</t>
  </si>
  <si>
    <t>Use Data Sheet</t>
  </si>
  <si>
    <t>Count the male employees data</t>
  </si>
  <si>
    <t xml:space="preserve">Calculate the total salary by Hyd city and males </t>
  </si>
  <si>
    <t>Sum of Salary</t>
  </si>
  <si>
    <t>Hyd Total</t>
  </si>
  <si>
    <t>Calculate the female empolyees total salary</t>
  </si>
  <si>
    <t>Calculate the Employee age using formula</t>
  </si>
  <si>
    <t>Example:-22 Years 3 Months 3 Days</t>
  </si>
  <si>
    <t xml:space="preserve"> Using Match Index function populate the Category and Area against the Sub Area. provided in Table 2.</t>
  </si>
  <si>
    <t xml:space="preserve">Using Count if Clear the below Excerise </t>
  </si>
  <si>
    <t>Data</t>
  </si>
  <si>
    <t>Positive Numbers Count</t>
  </si>
  <si>
    <t>Negitive Numbers Count</t>
  </si>
  <si>
    <t>Parent OrgID</t>
  </si>
  <si>
    <t>Org</t>
  </si>
  <si>
    <t>Accounts Payable</t>
  </si>
  <si>
    <t>Accounts Receivable</t>
  </si>
  <si>
    <t>Net Payble</t>
  </si>
  <si>
    <t>Compute the below from the data on the left</t>
  </si>
  <si>
    <t>A</t>
  </si>
  <si>
    <t>Total Payable</t>
  </si>
  <si>
    <t>B</t>
  </si>
  <si>
    <t>Total Receivable</t>
  </si>
  <si>
    <t>C</t>
  </si>
  <si>
    <t>Net Payable</t>
  </si>
  <si>
    <t>D</t>
  </si>
  <si>
    <t>E</t>
  </si>
  <si>
    <t>What are the top 3 organisations with maximum net payable</t>
  </si>
  <si>
    <t>Sum of Net Payble</t>
  </si>
  <si>
    <t>F</t>
  </si>
  <si>
    <t>Net payable</t>
  </si>
  <si>
    <t>U</t>
  </si>
  <si>
    <t>G</t>
  </si>
  <si>
    <t>N</t>
  </si>
  <si>
    <t>H</t>
  </si>
  <si>
    <t>I</t>
  </si>
  <si>
    <t>Q</t>
  </si>
  <si>
    <t>J</t>
  </si>
  <si>
    <t>O</t>
  </si>
  <si>
    <t>K</t>
  </si>
  <si>
    <t>Use a pivot table to identify top 3 parent orgIDs based on net payable</t>
  </si>
  <si>
    <t>L</t>
  </si>
  <si>
    <t>T</t>
  </si>
  <si>
    <t>M</t>
  </si>
  <si>
    <t>P</t>
  </si>
  <si>
    <t>R</t>
  </si>
  <si>
    <t>Identify top 3 parent org IDs based on the number of organisations mapped to it</t>
  </si>
  <si>
    <t># Organisations</t>
  </si>
  <si>
    <t>V</t>
  </si>
  <si>
    <t>S</t>
  </si>
  <si>
    <t>Count of Org</t>
  </si>
  <si>
    <t xml:space="preserve"> Use the data and draw a combo chart wit 2 Yaxis</t>
  </si>
  <si>
    <t>Quarter</t>
  </si>
  <si>
    <t>Sales</t>
  </si>
  <si>
    <t>Quality</t>
  </si>
  <si>
    <t>Quarter 1</t>
  </si>
  <si>
    <t>Quarter 2</t>
  </si>
  <si>
    <t>Quarter 3</t>
  </si>
  <si>
    <t>Q10: Is it possible to make Pivot Table using multiple sources of data?
Write down the procedure</t>
  </si>
  <si>
    <t>Write down the procedure</t>
  </si>
  <si>
    <t>Answer: Yes, it is possible to create a Pivot Table using multiple sources of data in Excel.</t>
  </si>
  <si>
    <t>Procedure:</t>
  </si>
  <si>
    <t>1.Open Microsoft Excel and prepare the data from multiple sources.</t>
  </si>
  <si>
    <t>2.Ensure that the data has proper column headings.</t>
  </si>
  <si>
    <t>3.Go to the Insert tab and click PivotTable.</t>
  </si>
  <si>
    <t>4.Select From External Data Source or use the Data Model option, depending on your Excel version.</t>
  </si>
  <si>
    <t>5.Add the required tables or connect the data sources.</t>
  </si>
  <si>
    <t>6.Create relationships between the tables using common fields, if necessary.</t>
  </si>
  <si>
    <t>7.Click Insert PivotTable or OK.</t>
  </si>
  <si>
    <t>8.Drag the required fields into Rows, Columns, Values, and Filters.</t>
  </si>
  <si>
    <t>9.The Pivot Table will display the summarized data from multiple sources</t>
  </si>
  <si>
    <t>Q11:How can you hide the error values in data field of Pivot Table 
Write down the procedure or do it using the data</t>
  </si>
  <si>
    <t>Follow these steps:</t>
  </si>
  <si>
    <t>Click anywhere inside the PivotTable.</t>
  </si>
  <si>
    <t>Right-click and select PivotTable Options.</t>
  </si>
  <si>
    <t>In the PivotTable Options dialog box, click the Layout &amp; Format tab.</t>
  </si>
  <si>
    <t>Under Format, tick the checkbox For error values show:.</t>
  </si>
  <si>
    <t>Leave the box beside it blank, or enter a space if needed.</t>
  </si>
  <si>
    <t>Click OK.</t>
  </si>
  <si>
    <t>Using given excel functions find the values for the below data</t>
  </si>
  <si>
    <t>Functions</t>
  </si>
  <si>
    <t>LookUp</t>
  </si>
  <si>
    <t xml:space="preserve">Index &amp; Match </t>
  </si>
  <si>
    <t>North-A1</t>
  </si>
  <si>
    <t>West-A3</t>
  </si>
  <si>
    <t>East-A1</t>
  </si>
  <si>
    <t>Table</t>
  </si>
  <si>
    <t>South-A1</t>
  </si>
  <si>
    <t>West-A2</t>
  </si>
  <si>
    <t>North-A2</t>
  </si>
  <si>
    <t>South-A2</t>
  </si>
  <si>
    <t>North-A3</t>
  </si>
  <si>
    <t>South-A3</t>
  </si>
  <si>
    <t>South-A4</t>
  </si>
  <si>
    <t>North-A4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</si>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</sst>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₹&quot;\ #,##0"/>
  </numFmts>
  <fonts count="20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0"/>
      <color rgb="FFFFFF00"/>
      <name val="Cambria"/>
    </font>
    <font>
      <sz val="10"/>
      <color rgb="FFFF0000"/>
      <name val="Calibri"/>
    </font>
    <font>
      <sz val="10"/>
      <color theme="1"/>
      <name val="Cambria"/>
    </font>
    <font>
      <b/>
      <sz val="10"/>
      <color theme="1"/>
      <name val="Calibri"/>
    </font>
    <font>
      <b/>
      <sz val="11"/>
      <color rgb="FFFF0000"/>
      <name val="Calibri"/>
    </font>
    <font>
      <b/>
      <i/>
      <u/>
      <sz val="11"/>
      <color rgb="FFFF0000"/>
      <name val="Calibri"/>
    </font>
    <font>
      <b/>
      <i/>
      <sz val="10"/>
      <color theme="1"/>
      <name val="Calibri"/>
    </font>
    <font>
      <sz val="10"/>
      <color theme="1"/>
      <name val="Calibri"/>
    </font>
    <font>
      <b/>
      <sz val="8"/>
      <color rgb="FF000000"/>
      <name val="Lao UI"/>
    </font>
    <font>
      <sz val="8"/>
      <color rgb="FF000000"/>
      <name val="Lao UI"/>
    </font>
    <font>
      <b/>
      <sz val="8"/>
      <color theme="1"/>
      <name val="Lao UI"/>
    </font>
    <font>
      <sz val="16"/>
      <color rgb="FFFF0000"/>
      <name val="Calibri"/>
    </font>
    <font>
      <sz val="11"/>
      <color rgb="FF242424"/>
      <name val="Aptos Narrow"/>
      <charset val="1"/>
    </font>
    <font>
      <b/>
      <u/>
      <sz val="11"/>
      <color rgb="FFFF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theme="1"/>
        <bgColor theme="1"/>
      </patternFill>
    </fill>
    <fill>
      <patternFill patternType="solid">
        <fgColor rgb="FFFFE598"/>
        <bgColor rgb="FFFFE598"/>
      </patternFill>
    </fill>
    <fill>
      <patternFill patternType="solid">
        <fgColor rgb="FFFFFFCC"/>
        <bgColor rgb="FFFFFFCC"/>
      </patternFill>
    </fill>
    <fill>
      <patternFill patternType="solid">
        <fgColor rgb="FFA5A5A5"/>
        <bgColor rgb="FFA5A5A5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FAF9F9"/>
        <bgColor rgb="FFFAF9F9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/>
      <top style="medium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medium">
        <color rgb="FFD8D8D8"/>
      </left>
      <right style="thin">
        <color rgb="FFD8D8D8"/>
      </right>
      <top/>
      <bottom style="thin">
        <color rgb="FF000000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D8D8D8"/>
      </left>
      <right/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/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8" fillId="7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8" fillId="7" borderId="7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3" fontId="8" fillId="7" borderId="7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9" fillId="0" borderId="1" xfId="0" applyFont="1" applyBorder="1"/>
    <xf numFmtId="0" fontId="9" fillId="6" borderId="1" xfId="0" applyFont="1" applyFill="1" applyBorder="1"/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5" fillId="6" borderId="26" xfId="0" applyFont="1" applyFill="1" applyBorder="1"/>
    <xf numFmtId="0" fontId="5" fillId="0" borderId="11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6" fillId="5" borderId="28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/>
    <xf numFmtId="0" fontId="9" fillId="12" borderId="1" xfId="0" applyFont="1" applyFill="1" applyBorder="1"/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6" fontId="15" fillId="0" borderId="1" xfId="0" applyNumberFormat="1" applyFont="1" applyBorder="1"/>
    <xf numFmtId="9" fontId="15" fillId="0" borderId="1" xfId="0" applyNumberFormat="1" applyFont="1" applyBorder="1"/>
    <xf numFmtId="0" fontId="5" fillId="0" borderId="4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0" fillId="0" borderId="16" xfId="0" applyFont="1" applyBorder="1" applyAlignment="1"/>
    <xf numFmtId="0" fontId="6" fillId="5" borderId="4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17" xfId="0" applyFont="1" applyBorder="1" applyAlignment="1">
      <alignment horizontal="center"/>
    </xf>
    <xf numFmtId="0" fontId="3" fillId="10" borderId="37" xfId="0" applyFont="1" applyFill="1" applyBorder="1" applyAlignment="1">
      <alignment horizontal="center"/>
    </xf>
    <xf numFmtId="0" fontId="6" fillId="0" borderId="31" xfId="0" applyFont="1" applyBorder="1" applyAlignment="1">
      <alignment vertical="center"/>
    </xf>
    <xf numFmtId="0" fontId="18" fillId="0" borderId="0" xfId="0" applyFont="1" applyAlignment="1"/>
    <xf numFmtId="0" fontId="19" fillId="0" borderId="0" xfId="0" applyFont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3" fillId="3" borderId="1" xfId="0" applyNumberFormat="1" applyFont="1" applyFill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0" fillId="0" borderId="1" xfId="0" applyFont="1" applyBorder="1" applyAlignment="1"/>
    <xf numFmtId="0" fontId="0" fillId="1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14" borderId="0" xfId="0" applyFont="1" applyFill="1" applyAlignment="1">
      <alignment horizontal="center" vertical="center"/>
    </xf>
    <xf numFmtId="0" fontId="6" fillId="5" borderId="44" xfId="0" applyFont="1" applyFill="1" applyBorder="1" applyAlignment="1">
      <alignment horizontal="left" vertical="center"/>
    </xf>
    <xf numFmtId="0" fontId="6" fillId="5" borderId="45" xfId="0" applyFont="1" applyFill="1" applyBorder="1" applyAlignment="1">
      <alignment horizontal="left" vertical="center"/>
    </xf>
    <xf numFmtId="0" fontId="0" fillId="0" borderId="0" xfId="0" applyFont="1" applyAlignment="1"/>
    <xf numFmtId="0" fontId="6" fillId="5" borderId="40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4" fillId="0" borderId="16" xfId="0" applyFont="1" applyBorder="1" applyAlignment="1"/>
    <xf numFmtId="0" fontId="5" fillId="12" borderId="16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6" fillId="5" borderId="40" xfId="0" applyFont="1" applyFill="1" applyBorder="1" applyAlignment="1">
      <alignment horizontal="center" vertical="center"/>
    </xf>
    <xf numFmtId="0" fontId="4" fillId="0" borderId="31" xfId="0" applyFont="1" applyBorder="1" applyAlignment="1"/>
    <xf numFmtId="0" fontId="4" fillId="0" borderId="4" xfId="0" applyFont="1" applyBorder="1" applyAlignment="1"/>
    <xf numFmtId="0" fontId="6" fillId="5" borderId="15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left"/>
    </xf>
    <xf numFmtId="0" fontId="4" fillId="0" borderId="19" xfId="0" applyFont="1" applyBorder="1" applyAlignment="1"/>
    <xf numFmtId="0" fontId="4" fillId="0" borderId="20" xfId="0" applyFont="1" applyBorder="1" applyAlignment="1"/>
    <xf numFmtId="0" fontId="2" fillId="2" borderId="16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/>
    </xf>
    <xf numFmtId="0" fontId="5" fillId="9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9" fillId="12" borderId="32" xfId="0" applyFont="1" applyFill="1" applyBorder="1" applyAlignment="1">
      <alignment horizontal="center"/>
    </xf>
    <xf numFmtId="0" fontId="14" fillId="3" borderId="33" xfId="0" applyFont="1" applyFill="1" applyBorder="1" applyAlignment="1">
      <alignment horizontal="center" vertical="center" wrapText="1"/>
    </xf>
    <xf numFmtId="0" fontId="4" fillId="0" borderId="34" xfId="0" applyFont="1" applyBorder="1" applyAlignment="1"/>
    <xf numFmtId="0" fontId="4" fillId="0" borderId="35" xfId="0" applyFont="1" applyBorder="1" applyAlignment="1"/>
    <xf numFmtId="0" fontId="4" fillId="0" borderId="36" xfId="0" applyFont="1" applyBorder="1" applyAlignment="1"/>
    <xf numFmtId="0" fontId="0" fillId="0" borderId="0" xfId="0" applyFont="1" applyAlignment="1"/>
    <xf numFmtId="0" fontId="4" fillId="0" borderId="37" xfId="0" applyFont="1" applyBorder="1" applyAlignment="1"/>
    <xf numFmtId="0" fontId="4" fillId="0" borderId="38" xfId="0" applyFont="1" applyBorder="1" applyAlignment="1"/>
    <xf numFmtId="0" fontId="4" fillId="0" borderId="17" xfId="0" applyFont="1" applyBorder="1" applyAlignment="1"/>
    <xf numFmtId="0" fontId="4" fillId="0" borderId="39" xfId="0" applyFont="1" applyBorder="1" applyAlignment="1"/>
    <xf numFmtId="0" fontId="14" fillId="3" borderId="33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top"/>
    </xf>
    <xf numFmtId="164" fontId="0" fillId="0" borderId="0" xfId="0" applyNumberFormat="1" applyFont="1" applyAlignment="1"/>
    <xf numFmtId="0" fontId="0" fillId="0" borderId="1" xfId="0" applyNumberFormat="1" applyFont="1" applyBorder="1" applyAlignment="1"/>
    <xf numFmtId="0" fontId="9" fillId="12" borderId="46" xfId="0" applyFont="1" applyFill="1" applyBorder="1"/>
    <xf numFmtId="164" fontId="0" fillId="0" borderId="1" xfId="0" applyNumberFormat="1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customschemas.google.com/relationships/workbookmetadata" Target="metadata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 Wise Sales and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'Q22'!$B$7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'Q22'!$A$8:$A$10</c:f>
              <c:strCache>
                <c:ptCount val="3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</c:strCache>
            </c:strRef>
          </c:cat>
          <c:val>
            <c:numRef>
              <c:f>'Q22'!$B$8:$B$10</c:f>
              <c:numCache>
                <c:formatCode>"$"#,##0_);[Red]\("$"#,##0\)</c:formatCode>
                <c:ptCount val="3"/>
                <c:pt idx="0">
                  <c:v>500</c:v>
                </c:pt>
                <c:pt idx="1">
                  <c:v>550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E-4B63-AA9C-1B6B0DF77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710536"/>
        <c:axId val="2034720776"/>
      </c:barChart>
      <c:lineChart>
        <c:grouping val="standard"/>
        <c:varyColors val="0"/>
        <c:ser>
          <c:idx val="1"/>
          <c:order val="1"/>
          <c:tx>
            <c:strRef>
              <c:f>'Q22'!$C$7</c:f>
              <c:strCache>
                <c:ptCount val="1"/>
                <c:pt idx="0">
                  <c:v>Quality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'Q22'!$A$8:$A$10</c:f>
              <c:strCache>
                <c:ptCount val="3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</c:strCache>
            </c:strRef>
          </c:cat>
          <c:val>
            <c:numRef>
              <c:f>'Q22'!$C$8:$C$10</c:f>
              <c:numCache>
                <c:formatCode>0%</c:formatCode>
                <c:ptCount val="3"/>
                <c:pt idx="0">
                  <c:v>0.98</c:v>
                </c:pt>
                <c:pt idx="1">
                  <c:v>0.85</c:v>
                </c:pt>
                <c:pt idx="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E-4B63-AA9C-1B6B0DF77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749448"/>
        <c:axId val="2034738184"/>
      </c:lineChart>
      <c:catAx>
        <c:axId val="203471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20776"/>
        <c:crosses val="autoZero"/>
        <c:auto val="1"/>
        <c:lblAlgn val="ctr"/>
        <c:lblOffset val="100"/>
        <c:noMultiLvlLbl val="0"/>
      </c:catAx>
      <c:valAx>
        <c:axId val="203472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10536"/>
        <c:crosses val="autoZero"/>
        <c:crossBetween val="between"/>
      </c:valAx>
      <c:valAx>
        <c:axId val="203473818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749448"/>
        <c:crosses val="max"/>
        <c:crossBetween val="between"/>
      </c:valAx>
      <c:catAx>
        <c:axId val="2034749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4738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6</xdr:row>
      <xdr:rowOff>161925</xdr:rowOff>
    </xdr:from>
    <xdr:to>
      <xdr:col>14</xdr:col>
      <xdr:colOff>247650</xdr:colOff>
      <xdr:row>22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34278B-DCB3-66C2-A53D-B74585F337A4}"/>
            </a:ext>
            <a:ext uri="{147F2762-F138-4A5C-976F-8EAC2B608ADB}">
              <a16:predDERef xmlns:a16="http://schemas.microsoft.com/office/drawing/2014/main" pred="{C0F1C1F3-8B48-2A38-6A99-13F2DAFE8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506931944445" createdVersion="8" refreshedVersion="8" minRefreshableVersion="3" recordCount="19" xr:uid="{1E981B0E-DB6B-4F36-9C97-6BAE19C58588}">
  <cacheSource type="worksheet">
    <worksheetSource ref="B3:F22" sheet="Q9"/>
  </cacheSource>
  <cacheFields count="5">
    <cacheField name="Status" numFmtId="0">
      <sharedItems count="2">
        <s v="Open"/>
        <s v="Closed"/>
      </sharedItems>
    </cacheField>
    <cacheField name="Area" numFmtId="0">
      <sharedItems count="7">
        <s v="Hardware"/>
        <s v="Off the Shelf"/>
        <s v=" No Area Given "/>
        <s v="iPad - Hardware"/>
        <s v="Veeva"/>
        <s v="iRep"/>
        <s v="iPad - Software"/>
      </sharedItems>
    </cacheField>
    <cacheField name="Sub Area" numFmtId="0">
      <sharedItems/>
    </cacheField>
    <cacheField name="ResolvedBy" numFmtId="0">
      <sharedItems/>
    </cacheField>
    <cacheField name="Resolution Level" numFmtId="0">
      <sharedItems count="3">
        <s v="Level 3"/>
        <s v="Level 2"/>
        <s v="Level 1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528404166667" createdVersion="8" refreshedVersion="8" minRefreshableVersion="3" recordCount="40" xr:uid="{9B7570A6-1002-46F5-B622-139B4725F071}">
  <cacheSource type="worksheet">
    <worksheetSource ref="B4:M44" sheet="Data"/>
  </cacheSource>
  <cacheFields count="12">
    <cacheField name="S.no" numFmtId="0">
      <sharedItems containsSemiMixedTypes="0" containsString="0" containsNumber="1" containsInteger="1" minValue="1" maxValue="40"/>
    </cacheField>
    <cacheField name="Empolyee name" numFmtId="0">
      <sharedItems/>
    </cacheField>
    <cacheField name="Emp .ID" numFmtId="0">
      <sharedItems containsSemiMixedTypes="0" containsString="0" containsNumber="1" containsInteger="1" minValue="110" maxValue="121"/>
    </cacheField>
    <cacheField name="Gender" numFmtId="0">
      <sharedItems count="2">
        <s v="Male"/>
        <s v="Female"/>
      </sharedItems>
    </cacheField>
    <cacheField name="DOB" numFmtId="15">
      <sharedItems containsSemiMixedTypes="0" containsNonDate="0" containsDate="1" containsString="0" minDate="1991-01-28T00:00:00" maxDate="2001-10-13T00:00:00"/>
    </cacheField>
    <cacheField name="Work Location" numFmtId="0">
      <sharedItems count="4">
        <s v="Kol"/>
        <s v="Hyd"/>
        <s v="Blr"/>
        <s v="Chn"/>
      </sharedItems>
    </cacheField>
    <cacheField name="Date Of Joing" numFmtId="14">
      <sharedItems containsSemiMixedTypes="0" containsNonDate="0" containsDate="1" containsString="0" minDate="2021-04-14T00:00:00" maxDate="2022-02-26T00:00:00"/>
    </cacheField>
    <cacheField name="Date Of Resignation" numFmtId="14">
      <sharedItems containsSemiMixedTypes="0" containsNonDate="0" containsDate="1" containsString="0" minDate="2021-11-12T00:00:00" maxDate="2024-01-26T00:00:00"/>
    </cacheField>
    <cacheField name="Salary" numFmtId="0">
      <sharedItems containsSemiMixedTypes="0" containsString="0" containsNumber="1" containsInteger="1" minValue="10000" maxValue="42000"/>
    </cacheField>
    <cacheField name="Total Experience" numFmtId="0">
      <sharedItems containsSemiMixedTypes="0" containsString="0" containsNumber="1" containsInteger="1" minValue="1" maxValue="10"/>
    </cacheField>
    <cacheField name="Emergency Contact Details" numFmtId="0">
      <sharedItems containsSemiMixedTypes="0" containsString="0" containsNumber="1" containsInteger="1" minValue="9108489803" maxValue="9903668284"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606781944443" createdVersion="8" refreshedVersion="8" minRefreshableVersion="3" recordCount="22" xr:uid="{3DB896E5-ECC6-4E54-81E0-07B519CB154E}">
  <cacheSource type="worksheet">
    <worksheetSource ref="A2:E24" sheet="Q21"/>
  </cacheSource>
  <cacheFields count="5">
    <cacheField name="Parent OrgID" numFmtId="0">
      <sharedItems containsSemiMixedTypes="0" containsString="0" containsNumber="1" containsInteger="1" minValue="1" maxValue="5" count="5">
        <n v="5"/>
        <n v="4"/>
        <n v="1"/>
        <n v="2"/>
        <n v="3"/>
      </sharedItems>
    </cacheField>
    <cacheField name="Org" numFmtId="0">
      <sharedItems count="22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P"/>
        <s v="Q"/>
        <s v="R"/>
        <s v="S"/>
        <s v="T"/>
        <s v="U"/>
        <s v="V"/>
      </sharedItems>
    </cacheField>
    <cacheField name="Accounts Payable" numFmtId="164">
      <sharedItems containsSemiMixedTypes="0" containsString="0" containsNumber="1" containsInteger="1" minValue="9800" maxValue="96794"/>
    </cacheField>
    <cacheField name="Accounts Receivable" numFmtId="164">
      <sharedItems containsSemiMixedTypes="0" containsString="0" containsNumber="1" containsInteger="1" minValue="3747" maxValue="91810"/>
    </cacheField>
    <cacheField name="Net Payble" numFmtId="164">
      <sharedItems containsSemiMixedTypes="0" containsString="0" containsNumber="1" containsInteger="1" minValue="-78296" maxValue="85176" count="22">
        <n v="12569"/>
        <n v="73931"/>
        <n v="-67012"/>
        <n v="16602"/>
        <n v="9478"/>
        <n v="-55627"/>
        <n v="-32778"/>
        <n v="-43569"/>
        <n v="13991"/>
        <n v="-48828"/>
        <n v="-78296"/>
        <n v="39660"/>
        <n v="-13547"/>
        <n v="76491"/>
        <n v="57559"/>
        <n v="-37084"/>
        <n v="67859"/>
        <n v="11196"/>
        <n v="-17535"/>
        <n v="32311"/>
        <n v="85176"/>
        <n v="-86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s v="Damaged-Malfunctioned"/>
    <s v="C3i Helpdesk"/>
    <x v="0"/>
  </r>
  <r>
    <x v="0"/>
    <x v="0"/>
    <s v="Complete System"/>
    <s v="C3i Helpdesk"/>
    <x v="0"/>
  </r>
  <r>
    <x v="0"/>
    <x v="0"/>
    <s v="Usage"/>
    <s v="C3i Helpdesk"/>
    <x v="1"/>
  </r>
  <r>
    <x v="0"/>
    <x v="1"/>
    <s v="Windows 7"/>
    <s v="C3i Helpdesk"/>
    <x v="1"/>
  </r>
  <r>
    <x v="0"/>
    <x v="2"/>
    <s v=" No Sub Area Given "/>
    <s v="C3i Helpdesk"/>
    <x v="2"/>
  </r>
  <r>
    <x v="0"/>
    <x v="3"/>
    <s v="Lost/Stolen"/>
    <s v="C3i Helpdesk"/>
    <x v="1"/>
  </r>
  <r>
    <x v="0"/>
    <x v="4"/>
    <s v="Calls"/>
    <s v="C3i Helpdesk"/>
    <x v="1"/>
  </r>
  <r>
    <x v="0"/>
    <x v="3"/>
    <s v="Request"/>
    <s v="C3i Helpdesk"/>
    <x v="0"/>
  </r>
  <r>
    <x v="0"/>
    <x v="4"/>
    <s v="Calls"/>
    <s v="C3i Helpdesk"/>
    <x v="1"/>
  </r>
  <r>
    <x v="0"/>
    <x v="4"/>
    <s v="Calls"/>
    <s v="C3i Helpdesk"/>
    <x v="1"/>
  </r>
  <r>
    <x v="0"/>
    <x v="4"/>
    <s v="Accounts"/>
    <s v="C3i Helpdesk"/>
    <x v="1"/>
  </r>
  <r>
    <x v="1"/>
    <x v="3"/>
    <s v="Damaged/Malfunctioned"/>
    <s v="C3i Helpdesk"/>
    <x v="1"/>
  </r>
  <r>
    <x v="1"/>
    <x v="4"/>
    <s v="Accounts"/>
    <s v="C3i Helpdesk"/>
    <x v="1"/>
  </r>
  <r>
    <x v="1"/>
    <x v="4"/>
    <s v="Events"/>
    <s v="C3i Helpdesk"/>
    <x v="1"/>
  </r>
  <r>
    <x v="1"/>
    <x v="5"/>
    <s v="Installation"/>
    <s v="C3i Helpdesk"/>
    <x v="1"/>
  </r>
  <r>
    <x v="1"/>
    <x v="5"/>
    <s v="Send-Receive"/>
    <s v="C3i Helpdesk"/>
    <x v="1"/>
  </r>
  <r>
    <x v="1"/>
    <x v="3"/>
    <s v="Damaged/Malfunctioned"/>
    <s v="C3i Helpdesk"/>
    <x v="0"/>
  </r>
  <r>
    <x v="1"/>
    <x v="6"/>
    <s v="Application"/>
    <s v="C3i Helpdesk"/>
    <x v="1"/>
  </r>
  <r>
    <x v="1"/>
    <x v="3"/>
    <s v="Lost/Stolen"/>
    <s v="C3i Helpdesk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s v="suresh"/>
    <n v="112"/>
    <x v="0"/>
    <d v="2001-07-12T00:00:00"/>
    <x v="0"/>
    <d v="2022-01-10T00:00:00"/>
    <d v="2023-02-01T00:00:00"/>
    <n v="42000"/>
    <n v="8"/>
    <n v="9821934908"/>
    <s v="amerpet"/>
  </r>
  <r>
    <n v="2"/>
    <s v="naresh"/>
    <n v="113"/>
    <x v="1"/>
    <d v="1996-10-16T00:00:00"/>
    <x v="1"/>
    <d v="2021-11-07T00:00:00"/>
    <d v="2023-10-25T00:00:00"/>
    <n v="35000"/>
    <n v="1"/>
    <n v="9543693808"/>
    <s v="suncity"/>
  </r>
  <r>
    <n v="3"/>
    <s v="mahesh"/>
    <n v="114"/>
    <x v="0"/>
    <d v="1991-01-28T00:00:00"/>
    <x v="2"/>
    <d v="2021-07-30T00:00:00"/>
    <d v="2021-12-28T00:00:00"/>
    <n v="35000"/>
    <n v="3"/>
    <n v="9493205498"/>
    <s v="amerpet"/>
  </r>
  <r>
    <n v="4"/>
    <s v="naveen"/>
    <n v="115"/>
    <x v="1"/>
    <d v="2001-08-08T00:00:00"/>
    <x v="2"/>
    <d v="2021-10-23T00:00:00"/>
    <d v="2022-02-06T00:00:00"/>
    <n v="18000"/>
    <n v="5"/>
    <n v="9136087980"/>
    <s v="amerpet"/>
  </r>
  <r>
    <n v="5"/>
    <s v="linga reddy"/>
    <n v="116"/>
    <x v="1"/>
    <d v="1996-03-27T00:00:00"/>
    <x v="3"/>
    <d v="2022-01-10T00:00:00"/>
    <d v="2023-05-02T00:00:00"/>
    <n v="35000"/>
    <n v="9"/>
    <n v="9726733882"/>
    <s v="suncity"/>
  </r>
  <r>
    <n v="6"/>
    <s v="sam reddy"/>
    <n v="117"/>
    <x v="0"/>
    <d v="2000-12-25T00:00:00"/>
    <x v="2"/>
    <d v="2022-01-16T00:00:00"/>
    <d v="2024-01-13T00:00:00"/>
    <n v="42000"/>
    <n v="9"/>
    <n v="9669292876"/>
    <s v="panjagutta"/>
  </r>
  <r>
    <n v="7"/>
    <s v="pavan"/>
    <n v="118"/>
    <x v="0"/>
    <d v="1993-12-16T00:00:00"/>
    <x v="3"/>
    <d v="2021-08-16T00:00:00"/>
    <d v="2023-05-08T00:00:00"/>
    <n v="10000"/>
    <n v="9"/>
    <n v="9315204195"/>
    <s v="begumpet"/>
  </r>
  <r>
    <n v="8"/>
    <s v="kishan"/>
    <n v="119"/>
    <x v="1"/>
    <d v="1999-03-31T00:00:00"/>
    <x v="1"/>
    <d v="2021-11-04T00:00:00"/>
    <d v="2022-05-26T00:00:00"/>
    <n v="18000"/>
    <n v="3"/>
    <n v="9285113634"/>
    <s v="suncity"/>
  </r>
  <r>
    <n v="9"/>
    <s v="harish"/>
    <n v="110"/>
    <x v="0"/>
    <d v="1998-11-10T00:00:00"/>
    <x v="3"/>
    <d v="2021-12-26T00:00:00"/>
    <d v="2023-03-07T00:00:00"/>
    <n v="35000"/>
    <n v="8"/>
    <n v="9511890959"/>
    <s v="hitechcity"/>
  </r>
  <r>
    <n v="10"/>
    <s v="chandrashekr"/>
    <n v="111"/>
    <x v="1"/>
    <d v="1995-01-02T00:00:00"/>
    <x v="0"/>
    <d v="2021-06-25T00:00:00"/>
    <d v="2022-10-01T00:00:00"/>
    <n v="18000"/>
    <n v="2"/>
    <n v="9178537741"/>
    <s v="amerpet"/>
  </r>
  <r>
    <n v="11"/>
    <s v="chintu"/>
    <n v="112"/>
    <x v="0"/>
    <d v="1997-07-31T00:00:00"/>
    <x v="3"/>
    <d v="2021-04-22T00:00:00"/>
    <d v="2022-04-26T00:00:00"/>
    <n v="10000"/>
    <n v="7"/>
    <n v="9563258827"/>
    <s v="hitechcity"/>
  </r>
  <r>
    <n v="12"/>
    <s v="banti"/>
    <n v="113"/>
    <x v="0"/>
    <d v="1997-10-07T00:00:00"/>
    <x v="2"/>
    <d v="2021-07-05T00:00:00"/>
    <d v="2022-04-30T00:00:00"/>
    <n v="20000"/>
    <n v="1"/>
    <n v="9903668284"/>
    <s v="hitechcity"/>
  </r>
  <r>
    <n v="13"/>
    <s v="nitin"/>
    <n v="114"/>
    <x v="1"/>
    <d v="2001-08-18T00:00:00"/>
    <x v="3"/>
    <d v="2021-07-18T00:00:00"/>
    <d v="2023-05-03T00:00:00"/>
    <n v="35000"/>
    <n v="8"/>
    <n v="9412491495"/>
    <s v="panjagutta"/>
  </r>
  <r>
    <n v="14"/>
    <s v="sampath"/>
    <n v="115"/>
    <x v="1"/>
    <d v="1997-01-10T00:00:00"/>
    <x v="0"/>
    <d v="2022-02-25T00:00:00"/>
    <d v="2023-09-26T00:00:00"/>
    <n v="42000"/>
    <n v="10"/>
    <n v="9580977285"/>
    <s v="begumpet"/>
  </r>
  <r>
    <n v="15"/>
    <s v="sanjeev"/>
    <n v="116"/>
    <x v="0"/>
    <d v="1996-02-10T00:00:00"/>
    <x v="2"/>
    <d v="2021-04-14T00:00:00"/>
    <d v="2022-08-12T00:00:00"/>
    <n v="20000"/>
    <n v="2"/>
    <n v="9543199239"/>
    <s v="panjagutta"/>
  </r>
  <r>
    <n v="16"/>
    <s v="santosh"/>
    <n v="117"/>
    <x v="0"/>
    <d v="1997-08-07T00:00:00"/>
    <x v="3"/>
    <d v="2022-01-04T00:00:00"/>
    <d v="2022-06-13T00:00:00"/>
    <n v="10000"/>
    <n v="7"/>
    <n v="9712763149"/>
    <s v="hitechcity"/>
  </r>
  <r>
    <n v="17"/>
    <s v="anil"/>
    <n v="118"/>
    <x v="0"/>
    <d v="1998-05-31T00:00:00"/>
    <x v="0"/>
    <d v="2021-10-25T00:00:00"/>
    <d v="2023-06-20T00:00:00"/>
    <n v="10000"/>
    <n v="5"/>
    <n v="9750297284"/>
    <s v="suncity"/>
  </r>
  <r>
    <n v="18"/>
    <s v="raju"/>
    <n v="119"/>
    <x v="1"/>
    <d v="1996-06-23T00:00:00"/>
    <x v="1"/>
    <d v="2021-05-16T00:00:00"/>
    <d v="2022-04-22T00:00:00"/>
    <n v="35000"/>
    <n v="9"/>
    <n v="9356037554"/>
    <s v="hitechcity"/>
  </r>
  <r>
    <n v="19"/>
    <s v="mahendar"/>
    <n v="120"/>
    <x v="1"/>
    <d v="1991-12-01T00:00:00"/>
    <x v="0"/>
    <d v="2022-02-12T00:00:00"/>
    <d v="2023-09-26T00:00:00"/>
    <n v="20000"/>
    <n v="3"/>
    <n v="9816090272"/>
    <s v="begumpet"/>
  </r>
  <r>
    <n v="20"/>
    <s v="venkatesh"/>
    <n v="121"/>
    <x v="1"/>
    <d v="2000-02-17T00:00:00"/>
    <x v="0"/>
    <d v="2021-08-30T00:00:00"/>
    <d v="2022-10-23T00:00:00"/>
    <n v="20000"/>
    <n v="6"/>
    <n v="9372396296"/>
    <s v="panjagutta"/>
  </r>
  <r>
    <n v="21"/>
    <s v="Nikhil"/>
    <n v="112"/>
    <x v="0"/>
    <d v="2001-06-05T00:00:00"/>
    <x v="3"/>
    <d v="2021-08-23T00:00:00"/>
    <d v="2023-04-22T00:00:00"/>
    <n v="18000"/>
    <n v="1"/>
    <n v="9756436801"/>
    <s v="amerpet"/>
  </r>
  <r>
    <n v="22"/>
    <s v="sowkya"/>
    <n v="113"/>
    <x v="0"/>
    <d v="2001-07-17T00:00:00"/>
    <x v="2"/>
    <d v="2021-12-23T00:00:00"/>
    <d v="2023-01-24T00:00:00"/>
    <n v="35000"/>
    <n v="6"/>
    <n v="9260569132"/>
    <s v="suncity"/>
  </r>
  <r>
    <n v="23"/>
    <s v="Rani"/>
    <n v="114"/>
    <x v="1"/>
    <d v="1992-04-05T00:00:00"/>
    <x v="1"/>
    <d v="2022-01-16T00:00:00"/>
    <d v="2023-08-11T00:00:00"/>
    <n v="20000"/>
    <n v="3"/>
    <n v="9521494464"/>
    <s v="amerpet"/>
  </r>
  <r>
    <n v="24"/>
    <s v="Tharun"/>
    <n v="115"/>
    <x v="1"/>
    <d v="1997-01-01T00:00:00"/>
    <x v="2"/>
    <d v="2021-11-07T00:00:00"/>
    <d v="2022-11-20T00:00:00"/>
    <n v="18000"/>
    <n v="7"/>
    <n v="9592356344"/>
    <s v="amerpet"/>
  </r>
  <r>
    <n v="25"/>
    <s v="Laxmi.Panimanishi"/>
    <n v="116"/>
    <x v="1"/>
    <d v="2001-06-20T00:00:00"/>
    <x v="2"/>
    <d v="2021-09-17T00:00:00"/>
    <d v="2022-11-07T00:00:00"/>
    <n v="20000"/>
    <n v="10"/>
    <n v="9420689442"/>
    <s v="suncity"/>
  </r>
  <r>
    <n v="26"/>
    <s v="ushakka"/>
    <n v="117"/>
    <x v="1"/>
    <d v="1992-12-24T00:00:00"/>
    <x v="3"/>
    <d v="2021-08-09T00:00:00"/>
    <d v="2023-01-20T00:00:00"/>
    <n v="20000"/>
    <n v="10"/>
    <n v="9323047053"/>
    <s v="panjagutta"/>
  </r>
  <r>
    <n v="27"/>
    <s v="snadya"/>
    <n v="118"/>
    <x v="0"/>
    <d v="2000-04-03T00:00:00"/>
    <x v="3"/>
    <d v="2021-07-18T00:00:00"/>
    <d v="2021-11-12T00:00:00"/>
    <n v="35000"/>
    <n v="7"/>
    <n v="9175236256"/>
    <s v="begumpet"/>
  </r>
  <r>
    <n v="28"/>
    <s v="rahu"/>
    <n v="119"/>
    <x v="0"/>
    <d v="1996-10-01T00:00:00"/>
    <x v="3"/>
    <d v="2021-11-17T00:00:00"/>
    <d v="2022-12-31T00:00:00"/>
    <n v="35000"/>
    <n v="6"/>
    <n v="9650155772"/>
    <s v="suncity"/>
  </r>
  <r>
    <n v="29"/>
    <s v="sayyad"/>
    <n v="110"/>
    <x v="0"/>
    <d v="1994-09-01T00:00:00"/>
    <x v="0"/>
    <d v="2021-06-10T00:00:00"/>
    <d v="2021-12-30T00:00:00"/>
    <n v="10000"/>
    <n v="7"/>
    <n v="9108489803"/>
    <s v="hitechcity"/>
  </r>
  <r>
    <n v="30"/>
    <s v="tabassum"/>
    <n v="111"/>
    <x v="0"/>
    <d v="1994-10-28T00:00:00"/>
    <x v="3"/>
    <d v="2021-08-01T00:00:00"/>
    <d v="2023-05-14T00:00:00"/>
    <n v="18000"/>
    <n v="5"/>
    <n v="9175153983"/>
    <s v="amerpet"/>
  </r>
  <r>
    <n v="31"/>
    <s v="sunny"/>
    <n v="112"/>
    <x v="1"/>
    <d v="2001-10-12T00:00:00"/>
    <x v="2"/>
    <d v="2021-05-09T00:00:00"/>
    <d v="2023-02-19T00:00:00"/>
    <n v="10000"/>
    <n v="3"/>
    <n v="9256089954"/>
    <s v="hitechcity"/>
  </r>
  <r>
    <n v="32"/>
    <s v="vinny"/>
    <n v="113"/>
    <x v="0"/>
    <d v="1998-09-30T00:00:00"/>
    <x v="2"/>
    <d v="2021-07-31T00:00:00"/>
    <d v="2023-03-03T00:00:00"/>
    <n v="35000"/>
    <n v="4"/>
    <n v="9471908056"/>
    <s v="hitechcity"/>
  </r>
  <r>
    <n v="33"/>
    <s v="chinni"/>
    <n v="114"/>
    <x v="0"/>
    <d v="1995-08-01T00:00:00"/>
    <x v="1"/>
    <d v="2021-11-12T00:00:00"/>
    <d v="2022-03-05T00:00:00"/>
    <n v="35000"/>
    <n v="7"/>
    <n v="9361742681"/>
    <s v="panjagutta"/>
  </r>
  <r>
    <n v="34"/>
    <s v="vijay"/>
    <n v="115"/>
    <x v="0"/>
    <d v="1999-10-04T00:00:00"/>
    <x v="3"/>
    <d v="2022-02-01T00:00:00"/>
    <d v="2024-01-25T00:00:00"/>
    <n v="20000"/>
    <n v="6"/>
    <n v="9550307866"/>
    <s v="begumpet"/>
  </r>
  <r>
    <n v="35"/>
    <s v="shashi"/>
    <n v="116"/>
    <x v="1"/>
    <d v="1991-10-24T00:00:00"/>
    <x v="0"/>
    <d v="2021-09-28T00:00:00"/>
    <d v="2022-04-08T00:00:00"/>
    <n v="10000"/>
    <n v="7"/>
    <n v="9456201256"/>
    <s v="panjagutta"/>
  </r>
  <r>
    <n v="36"/>
    <s v="prashi"/>
    <n v="117"/>
    <x v="1"/>
    <d v="1996-01-13T00:00:00"/>
    <x v="2"/>
    <d v="2021-04-29T00:00:00"/>
    <d v="2022-04-17T00:00:00"/>
    <n v="10000"/>
    <n v="2"/>
    <n v="9234670550"/>
    <s v="hitechcity"/>
  </r>
  <r>
    <n v="37"/>
    <s v="kranthi"/>
    <n v="118"/>
    <x v="0"/>
    <d v="1992-03-27T00:00:00"/>
    <x v="1"/>
    <d v="2022-02-13T00:00:00"/>
    <d v="2023-09-10T00:00:00"/>
    <n v="35000"/>
    <n v="9"/>
    <n v="9623465455"/>
    <s v="suncity"/>
  </r>
  <r>
    <n v="38"/>
    <s v="pullaiah"/>
    <n v="119"/>
    <x v="0"/>
    <d v="1992-10-03T00:00:00"/>
    <x v="1"/>
    <d v="2021-09-05T00:00:00"/>
    <d v="2023-01-05T00:00:00"/>
    <n v="10000"/>
    <n v="8"/>
    <n v="9257334815"/>
    <s v="hitechcity"/>
  </r>
  <r>
    <n v="39"/>
    <s v="naresh"/>
    <n v="120"/>
    <x v="1"/>
    <d v="1992-12-22T00:00:00"/>
    <x v="3"/>
    <d v="2021-09-17T00:00:00"/>
    <d v="2023-01-14T00:00:00"/>
    <n v="35000"/>
    <n v="10"/>
    <n v="9463131191"/>
    <s v="begumpet"/>
  </r>
  <r>
    <n v="40"/>
    <s v="vikas"/>
    <n v="121"/>
    <x v="0"/>
    <d v="1997-09-07T00:00:00"/>
    <x v="1"/>
    <d v="2022-01-04T00:00:00"/>
    <d v="2023-10-16T00:00:00"/>
    <n v="18000"/>
    <n v="3"/>
    <n v="9659532373"/>
    <s v="panjagutt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n v="40611"/>
    <n v="28042"/>
    <x v="0"/>
  </r>
  <r>
    <x v="1"/>
    <x v="1"/>
    <n v="77887"/>
    <n v="3956"/>
    <x v="1"/>
  </r>
  <r>
    <x v="2"/>
    <x v="2"/>
    <n v="14399"/>
    <n v="81411"/>
    <x v="2"/>
  </r>
  <r>
    <x v="2"/>
    <x v="3"/>
    <n v="75347"/>
    <n v="58745"/>
    <x v="3"/>
  </r>
  <r>
    <x v="3"/>
    <x v="4"/>
    <n v="13225"/>
    <n v="3747"/>
    <x v="4"/>
  </r>
  <r>
    <x v="3"/>
    <x v="5"/>
    <n v="27953"/>
    <n v="83580"/>
    <x v="5"/>
  </r>
  <r>
    <x v="2"/>
    <x v="6"/>
    <n v="59032"/>
    <n v="91810"/>
    <x v="6"/>
  </r>
  <r>
    <x v="1"/>
    <x v="7"/>
    <n v="37097"/>
    <n v="80666"/>
    <x v="7"/>
  </r>
  <r>
    <x v="3"/>
    <x v="8"/>
    <n v="95624"/>
    <n v="81633"/>
    <x v="8"/>
  </r>
  <r>
    <x v="4"/>
    <x v="9"/>
    <n v="11987"/>
    <n v="60815"/>
    <x v="9"/>
  </r>
  <r>
    <x v="2"/>
    <x v="10"/>
    <n v="13448"/>
    <n v="91744"/>
    <x v="10"/>
  </r>
  <r>
    <x v="1"/>
    <x v="11"/>
    <n v="49404"/>
    <n v="9744"/>
    <x v="11"/>
  </r>
  <r>
    <x v="4"/>
    <x v="12"/>
    <n v="12099"/>
    <n v="25646"/>
    <x v="12"/>
  </r>
  <r>
    <x v="2"/>
    <x v="13"/>
    <n v="96794"/>
    <n v="20303"/>
    <x v="13"/>
  </r>
  <r>
    <x v="2"/>
    <x v="14"/>
    <n v="82598"/>
    <n v="25039"/>
    <x v="14"/>
  </r>
  <r>
    <x v="3"/>
    <x v="15"/>
    <n v="53250"/>
    <n v="90334"/>
    <x v="15"/>
  </r>
  <r>
    <x v="1"/>
    <x v="16"/>
    <n v="72591"/>
    <n v="4732"/>
    <x v="16"/>
  </r>
  <r>
    <x v="2"/>
    <x v="17"/>
    <n v="25955"/>
    <n v="14759"/>
    <x v="17"/>
  </r>
  <r>
    <x v="1"/>
    <x v="18"/>
    <n v="9800"/>
    <n v="27335"/>
    <x v="18"/>
  </r>
  <r>
    <x v="3"/>
    <x v="19"/>
    <n v="46976"/>
    <n v="14665"/>
    <x v="19"/>
  </r>
  <r>
    <x v="2"/>
    <x v="20"/>
    <n v="96175"/>
    <n v="10999"/>
    <x v="20"/>
  </r>
  <r>
    <x v="1"/>
    <x v="21"/>
    <n v="50284"/>
    <n v="51151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DC72F-DC6A-423B-A158-7F9166580A9E}" name="PivotTable1" cacheId="7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6:O11" firstHeaderRow="1" firstDataRow="2" firstDataCol="1"/>
  <pivotFields count="5">
    <pivotField axis="axisCol" compact="0" outline="0" showAll="0">
      <items count="3">
        <item x="1"/>
        <item x="0"/>
        <item t="default"/>
      </items>
    </pivotField>
    <pivotField dataField="1" compact="0" outline="0" showAll="0">
      <items count="8">
        <item x="2"/>
        <item x="0"/>
        <item x="3"/>
        <item x="6"/>
        <item x="5"/>
        <item x="1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re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B1FE3-9722-4E5D-B0E6-16C6120FB4CD}" name="PivotTable2" cacheId="7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E7" firstHeaderRow="1" firstDataRow="1" firstDataCol="2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3">
        <item h="1" x="1"/>
        <item x="0"/>
        <item t="default"/>
      </items>
    </pivotField>
    <pivotField compact="0" numFmtId="15" outline="0" showAll="0"/>
    <pivotField axis="axisRow" compact="0" outline="0" showAll="0">
      <items count="5">
        <item h="1" x="2"/>
        <item h="1" x="3"/>
        <item x="1"/>
        <item h="1" x="0"/>
        <item t="default"/>
      </items>
    </pivotField>
    <pivotField compact="0" numFmtId="14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3">
    <i>
      <x v="2"/>
      <x v="1"/>
    </i>
    <i t="default">
      <x v="2"/>
    </i>
    <i t="grand">
      <x/>
    </i>
  </rowItems>
  <colItems count="1">
    <i/>
  </colItems>
  <dataFields count="1">
    <dataField name="Sum of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06B58-430F-4152-9F53-8E2FFE8BE91E}" name="PivotTable3" cacheId="7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C5" firstHeaderRow="1" firstDataRow="1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h="1" x="0"/>
        <item t="default"/>
      </items>
    </pivotField>
    <pivotField compact="0" numFmtId="15" outline="0" showAll="0"/>
    <pivotField compact="0" outline="0" showAll="0"/>
    <pivotField compact="0" numFmtId="14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Sum of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19490-6336-4E22-9CF3-65909C3FDAB0}" name="PivotTable3" cacheId="79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R7:S30" firstHeaderRow="1" firstDataRow="1" firstDataCol="1"/>
  <pivotFields count="5">
    <pivotField compact="0" outline="0" showAll="0"/>
    <pivotField axis="axisRow" compact="0" outline="0" showAll="0" sortType="descending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64" outline="0" showAll="0"/>
    <pivotField dataField="1" compact="0" numFmtId="164" outline="0" showAll="0"/>
  </pivotFields>
  <rowFields count="1">
    <field x="1"/>
  </rowFields>
  <rowItems count="23">
    <i>
      <x v="20"/>
    </i>
    <i>
      <x v="13"/>
    </i>
    <i>
      <x v="1"/>
    </i>
    <i>
      <x v="16"/>
    </i>
    <i>
      <x v="14"/>
    </i>
    <i>
      <x v="11"/>
    </i>
    <i>
      <x v="19"/>
    </i>
    <i>
      <x v="3"/>
    </i>
    <i>
      <x v="8"/>
    </i>
    <i>
      <x/>
    </i>
    <i>
      <x v="17"/>
    </i>
    <i>
      <x v="4"/>
    </i>
    <i>
      <x v="21"/>
    </i>
    <i>
      <x v="12"/>
    </i>
    <i>
      <x v="18"/>
    </i>
    <i>
      <x v="6"/>
    </i>
    <i>
      <x v="15"/>
    </i>
    <i>
      <x v="7"/>
    </i>
    <i>
      <x v="9"/>
    </i>
    <i>
      <x v="5"/>
    </i>
    <i>
      <x v="2"/>
    </i>
    <i>
      <x v="10"/>
    </i>
    <i t="grand">
      <x/>
    </i>
  </rowItems>
  <colItems count="1">
    <i/>
  </colItems>
  <dataFields count="1">
    <dataField name="Sum of Net Payble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150BF-9223-49BC-AC71-457E5F5B2BD8}" name="PivotTable2" cacheId="7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21:O27" firstHeaderRow="1" firstDataRow="1" firstDataCol="1"/>
  <pivotFields count="5">
    <pivotField axis="axisRow" compact="0" outline="0" showAll="0" sortType="de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1">
    <field x="0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Count of Org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B9D4F-DF6E-4B9E-A479-77D5C77E9C11}" name="PivotTable1" cacheId="7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13:O19" firstHeaderRow="1" firstDataRow="1" firstDataCol="1"/>
  <pivotFields count="5">
    <pivotField axis="axisRow" compact="0" outline="0" showAll="0" sortType="descending">
      <items count="6">
        <item x="0"/>
        <item x="1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 sortType="descending">
      <items count="23">
        <item x="20"/>
        <item x="13"/>
        <item x="1"/>
        <item x="16"/>
        <item x="14"/>
        <item x="11"/>
        <item x="19"/>
        <item x="3"/>
        <item x="8"/>
        <item x="0"/>
        <item x="17"/>
        <item x="4"/>
        <item x="21"/>
        <item x="12"/>
        <item x="18"/>
        <item x="6"/>
        <item x="15"/>
        <item x="7"/>
        <item x="9"/>
        <item x="5"/>
        <item x="2"/>
        <item x="10"/>
        <item t="default"/>
      </items>
    </pivotField>
  </pivotFields>
  <rowFields count="1">
    <field x="0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Net Payble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topLeftCell="A11" workbookViewId="0">
      <selection activeCell="G6" sqref="G6"/>
    </sheetView>
  </sheetViews>
  <sheetFormatPr defaultColWidth="14.42578125" defaultRowHeight="15" customHeight="1"/>
  <cols>
    <col min="1" max="1" width="8.7109375" customWidth="1"/>
    <col min="2" max="2" width="7.85546875" customWidth="1"/>
    <col min="3" max="3" width="36.7109375" customWidth="1"/>
    <col min="4" max="4" width="8.7109375" customWidth="1"/>
    <col min="5" max="6" width="22.5703125" customWidth="1"/>
    <col min="7" max="7" width="20.42578125" customWidth="1"/>
    <col min="8" max="10" width="19.28515625" customWidth="1"/>
    <col min="11" max="12" width="27.5703125" customWidth="1"/>
    <col min="13" max="13" width="11.140625" customWidth="1"/>
    <col min="14" max="26" width="8.7109375" customWidth="1"/>
  </cols>
  <sheetData>
    <row r="1" spans="2:13" ht="14.25" customHeight="1"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2:13" ht="14.25" customHeight="1">
      <c r="B2" s="97"/>
      <c r="C2" s="97"/>
      <c r="D2" s="97"/>
      <c r="E2" s="97"/>
      <c r="F2" s="97"/>
      <c r="G2" s="97"/>
      <c r="H2" s="1" t="s">
        <v>0</v>
      </c>
      <c r="I2" s="97"/>
      <c r="J2" s="97"/>
      <c r="K2" s="97"/>
      <c r="L2" s="97"/>
      <c r="M2" s="97"/>
    </row>
    <row r="3" spans="2:13" ht="14.25" customHeight="1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2:13" ht="14.2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2:13" ht="14.25" customHeight="1">
      <c r="B5" s="3">
        <v>1</v>
      </c>
      <c r="C5" s="3" t="s">
        <v>13</v>
      </c>
      <c r="D5" s="3">
        <v>112</v>
      </c>
      <c r="E5" s="3" t="s">
        <v>14</v>
      </c>
      <c r="F5" s="4">
        <v>37084</v>
      </c>
      <c r="G5" s="3" t="s">
        <v>15</v>
      </c>
      <c r="H5" s="5">
        <v>44571</v>
      </c>
      <c r="I5" s="5">
        <v>44958</v>
      </c>
      <c r="J5" s="3">
        <v>42000</v>
      </c>
      <c r="K5" s="3">
        <v>8</v>
      </c>
      <c r="L5" s="3">
        <v>9821934908</v>
      </c>
      <c r="M5" s="3" t="s">
        <v>16</v>
      </c>
    </row>
    <row r="6" spans="2:13" ht="14.25" customHeight="1">
      <c r="B6" s="3">
        <v>2</v>
      </c>
      <c r="C6" s="3" t="s">
        <v>17</v>
      </c>
      <c r="D6" s="3">
        <v>113</v>
      </c>
      <c r="E6" s="3" t="s">
        <v>18</v>
      </c>
      <c r="F6" s="4">
        <v>35354</v>
      </c>
      <c r="G6" s="3" t="s">
        <v>19</v>
      </c>
      <c r="H6" s="5">
        <v>44507</v>
      </c>
      <c r="I6" s="5">
        <v>45224</v>
      </c>
      <c r="J6" s="3">
        <v>35000</v>
      </c>
      <c r="K6" s="3">
        <v>1</v>
      </c>
      <c r="L6" s="3">
        <v>9543693808</v>
      </c>
      <c r="M6" s="3" t="s">
        <v>20</v>
      </c>
    </row>
    <row r="7" spans="2:13" ht="14.25" customHeight="1">
      <c r="B7" s="3">
        <v>3</v>
      </c>
      <c r="C7" s="3" t="s">
        <v>21</v>
      </c>
      <c r="D7" s="3">
        <v>114</v>
      </c>
      <c r="E7" s="3" t="s">
        <v>14</v>
      </c>
      <c r="F7" s="4">
        <v>33266</v>
      </c>
      <c r="G7" s="3" t="s">
        <v>22</v>
      </c>
      <c r="H7" s="5">
        <v>44407</v>
      </c>
      <c r="I7" s="5">
        <v>44558</v>
      </c>
      <c r="J7" s="3">
        <v>35000</v>
      </c>
      <c r="K7" s="3">
        <v>3</v>
      </c>
      <c r="L7" s="3">
        <v>9493205498</v>
      </c>
      <c r="M7" s="3" t="s">
        <v>16</v>
      </c>
    </row>
    <row r="8" spans="2:13" ht="14.25" customHeight="1">
      <c r="B8" s="3">
        <v>4</v>
      </c>
      <c r="C8" s="3" t="s">
        <v>23</v>
      </c>
      <c r="D8" s="3">
        <v>115</v>
      </c>
      <c r="E8" s="3" t="s">
        <v>18</v>
      </c>
      <c r="F8" s="4">
        <v>37111</v>
      </c>
      <c r="G8" s="3" t="s">
        <v>22</v>
      </c>
      <c r="H8" s="5">
        <v>44492</v>
      </c>
      <c r="I8" s="5">
        <v>44598</v>
      </c>
      <c r="J8" s="3">
        <v>18000</v>
      </c>
      <c r="K8" s="3">
        <v>5</v>
      </c>
      <c r="L8" s="3">
        <v>9136087980</v>
      </c>
      <c r="M8" s="3" t="s">
        <v>16</v>
      </c>
    </row>
    <row r="9" spans="2:13" ht="14.25" customHeight="1">
      <c r="B9" s="3">
        <v>5</v>
      </c>
      <c r="C9" s="3" t="s">
        <v>24</v>
      </c>
      <c r="D9" s="3">
        <v>116</v>
      </c>
      <c r="E9" s="3" t="s">
        <v>18</v>
      </c>
      <c r="F9" s="4">
        <v>35151</v>
      </c>
      <c r="G9" s="3" t="s">
        <v>25</v>
      </c>
      <c r="H9" s="5">
        <v>44571</v>
      </c>
      <c r="I9" s="5">
        <v>45048</v>
      </c>
      <c r="J9" s="3">
        <v>35000</v>
      </c>
      <c r="K9" s="3">
        <v>9</v>
      </c>
      <c r="L9" s="3">
        <v>9726733882</v>
      </c>
      <c r="M9" s="3" t="s">
        <v>20</v>
      </c>
    </row>
    <row r="10" spans="2:13" ht="14.25" customHeight="1">
      <c r="B10" s="3">
        <v>6</v>
      </c>
      <c r="C10" s="3" t="s">
        <v>26</v>
      </c>
      <c r="D10" s="3">
        <v>117</v>
      </c>
      <c r="E10" s="3" t="s">
        <v>14</v>
      </c>
      <c r="F10" s="4">
        <v>36885</v>
      </c>
      <c r="G10" s="3" t="s">
        <v>22</v>
      </c>
      <c r="H10" s="5">
        <v>44577</v>
      </c>
      <c r="I10" s="5">
        <v>45304</v>
      </c>
      <c r="J10" s="3">
        <v>42000</v>
      </c>
      <c r="K10" s="3">
        <v>9</v>
      </c>
      <c r="L10" s="3">
        <v>9669292876</v>
      </c>
      <c r="M10" s="3" t="s">
        <v>27</v>
      </c>
    </row>
    <row r="11" spans="2:13" ht="14.25" customHeight="1">
      <c r="B11" s="3">
        <v>7</v>
      </c>
      <c r="C11" s="3" t="s">
        <v>28</v>
      </c>
      <c r="D11" s="3">
        <v>118</v>
      </c>
      <c r="E11" s="3" t="s">
        <v>14</v>
      </c>
      <c r="F11" s="4">
        <v>34319</v>
      </c>
      <c r="G11" s="3" t="s">
        <v>25</v>
      </c>
      <c r="H11" s="5">
        <v>44424</v>
      </c>
      <c r="I11" s="5">
        <v>45054</v>
      </c>
      <c r="J11" s="3">
        <v>10000</v>
      </c>
      <c r="K11" s="3">
        <v>9</v>
      </c>
      <c r="L11" s="3">
        <v>9315204195</v>
      </c>
      <c r="M11" s="3" t="s">
        <v>29</v>
      </c>
    </row>
    <row r="12" spans="2:13" ht="14.25" customHeight="1">
      <c r="B12" s="3">
        <v>8</v>
      </c>
      <c r="C12" s="3" t="s">
        <v>30</v>
      </c>
      <c r="D12" s="3">
        <v>119</v>
      </c>
      <c r="E12" s="3" t="s">
        <v>18</v>
      </c>
      <c r="F12" s="4">
        <v>36250</v>
      </c>
      <c r="G12" s="3" t="s">
        <v>19</v>
      </c>
      <c r="H12" s="5">
        <v>44504</v>
      </c>
      <c r="I12" s="5">
        <v>44707</v>
      </c>
      <c r="J12" s="3">
        <v>18000</v>
      </c>
      <c r="K12" s="3">
        <v>3</v>
      </c>
      <c r="L12" s="3">
        <v>9285113634</v>
      </c>
      <c r="M12" s="3" t="s">
        <v>20</v>
      </c>
    </row>
    <row r="13" spans="2:13" ht="14.25" customHeight="1">
      <c r="B13" s="3">
        <v>9</v>
      </c>
      <c r="C13" s="3" t="s">
        <v>31</v>
      </c>
      <c r="D13" s="3">
        <v>110</v>
      </c>
      <c r="E13" s="3" t="s">
        <v>14</v>
      </c>
      <c r="F13" s="4">
        <v>36109</v>
      </c>
      <c r="G13" s="3" t="s">
        <v>25</v>
      </c>
      <c r="H13" s="5">
        <v>44556</v>
      </c>
      <c r="I13" s="5">
        <v>44992</v>
      </c>
      <c r="J13" s="3">
        <v>35000</v>
      </c>
      <c r="K13" s="3">
        <v>8</v>
      </c>
      <c r="L13" s="3">
        <v>9511890959</v>
      </c>
      <c r="M13" s="3" t="s">
        <v>32</v>
      </c>
    </row>
    <row r="14" spans="2:13" ht="14.25" customHeight="1">
      <c r="B14" s="3">
        <v>10</v>
      </c>
      <c r="C14" s="3" t="s">
        <v>33</v>
      </c>
      <c r="D14" s="3">
        <v>111</v>
      </c>
      <c r="E14" s="3" t="s">
        <v>18</v>
      </c>
      <c r="F14" s="4">
        <v>34701</v>
      </c>
      <c r="G14" s="3" t="s">
        <v>15</v>
      </c>
      <c r="H14" s="5">
        <v>44372</v>
      </c>
      <c r="I14" s="5">
        <v>44835</v>
      </c>
      <c r="J14" s="3">
        <v>18000</v>
      </c>
      <c r="K14" s="3">
        <v>2</v>
      </c>
      <c r="L14" s="3">
        <v>9178537741</v>
      </c>
      <c r="M14" s="3" t="s">
        <v>16</v>
      </c>
    </row>
    <row r="15" spans="2:13" ht="14.25" customHeight="1">
      <c r="B15" s="3">
        <v>11</v>
      </c>
      <c r="C15" s="3" t="s">
        <v>34</v>
      </c>
      <c r="D15" s="3">
        <v>112</v>
      </c>
      <c r="E15" s="3" t="s">
        <v>14</v>
      </c>
      <c r="F15" s="4">
        <v>35642</v>
      </c>
      <c r="G15" s="3" t="s">
        <v>25</v>
      </c>
      <c r="H15" s="5">
        <v>44308</v>
      </c>
      <c r="I15" s="5">
        <v>44677</v>
      </c>
      <c r="J15" s="3">
        <v>10000</v>
      </c>
      <c r="K15" s="3">
        <v>7</v>
      </c>
      <c r="L15" s="3">
        <v>9563258827</v>
      </c>
      <c r="M15" s="3" t="s">
        <v>32</v>
      </c>
    </row>
    <row r="16" spans="2:13" ht="14.25" customHeight="1">
      <c r="B16" s="3">
        <v>12</v>
      </c>
      <c r="C16" s="3" t="s">
        <v>35</v>
      </c>
      <c r="D16" s="3">
        <v>113</v>
      </c>
      <c r="E16" s="3" t="s">
        <v>14</v>
      </c>
      <c r="F16" s="4">
        <v>35710</v>
      </c>
      <c r="G16" s="3" t="s">
        <v>22</v>
      </c>
      <c r="H16" s="5">
        <v>44382</v>
      </c>
      <c r="I16" s="5">
        <v>44681</v>
      </c>
      <c r="J16" s="3">
        <v>20000</v>
      </c>
      <c r="K16" s="3">
        <v>1</v>
      </c>
      <c r="L16" s="3">
        <v>9903668284</v>
      </c>
      <c r="M16" s="3" t="s">
        <v>32</v>
      </c>
    </row>
    <row r="17" spans="2:13" ht="14.25" customHeight="1">
      <c r="B17" s="3">
        <v>13</v>
      </c>
      <c r="C17" s="3" t="s">
        <v>36</v>
      </c>
      <c r="D17" s="3">
        <v>114</v>
      </c>
      <c r="E17" s="3" t="s">
        <v>18</v>
      </c>
      <c r="F17" s="4">
        <v>37121</v>
      </c>
      <c r="G17" s="3" t="s">
        <v>25</v>
      </c>
      <c r="H17" s="5">
        <v>44395</v>
      </c>
      <c r="I17" s="5">
        <v>45049</v>
      </c>
      <c r="J17" s="3">
        <v>35000</v>
      </c>
      <c r="K17" s="3">
        <v>8</v>
      </c>
      <c r="L17" s="3">
        <v>9412491495</v>
      </c>
      <c r="M17" s="3" t="s">
        <v>27</v>
      </c>
    </row>
    <row r="18" spans="2:13" ht="14.25" customHeight="1">
      <c r="B18" s="3">
        <v>14</v>
      </c>
      <c r="C18" s="3" t="s">
        <v>37</v>
      </c>
      <c r="D18" s="3">
        <v>115</v>
      </c>
      <c r="E18" s="3" t="s">
        <v>18</v>
      </c>
      <c r="F18" s="4">
        <v>35440</v>
      </c>
      <c r="G18" s="3" t="s">
        <v>15</v>
      </c>
      <c r="H18" s="5">
        <v>44617</v>
      </c>
      <c r="I18" s="5">
        <v>45195</v>
      </c>
      <c r="J18" s="3">
        <v>42000</v>
      </c>
      <c r="K18" s="3">
        <v>10</v>
      </c>
      <c r="L18" s="3">
        <v>9580977285</v>
      </c>
      <c r="M18" s="3" t="s">
        <v>29</v>
      </c>
    </row>
    <row r="19" spans="2:13" ht="14.25" customHeight="1">
      <c r="B19" s="3">
        <v>15</v>
      </c>
      <c r="C19" s="3" t="s">
        <v>38</v>
      </c>
      <c r="D19" s="3">
        <v>116</v>
      </c>
      <c r="E19" s="3" t="s">
        <v>14</v>
      </c>
      <c r="F19" s="4">
        <v>35105</v>
      </c>
      <c r="G19" s="3" t="s">
        <v>22</v>
      </c>
      <c r="H19" s="5">
        <v>44300</v>
      </c>
      <c r="I19" s="5">
        <v>44785</v>
      </c>
      <c r="J19" s="3">
        <v>20000</v>
      </c>
      <c r="K19" s="3">
        <v>2</v>
      </c>
      <c r="L19" s="3">
        <v>9543199239</v>
      </c>
      <c r="M19" s="3" t="s">
        <v>27</v>
      </c>
    </row>
    <row r="20" spans="2:13" ht="14.25" customHeight="1">
      <c r="B20" s="3">
        <v>16</v>
      </c>
      <c r="C20" s="3" t="s">
        <v>39</v>
      </c>
      <c r="D20" s="3">
        <v>117</v>
      </c>
      <c r="E20" s="3" t="s">
        <v>14</v>
      </c>
      <c r="F20" s="4">
        <v>35649</v>
      </c>
      <c r="G20" s="3" t="s">
        <v>25</v>
      </c>
      <c r="H20" s="5">
        <v>44565</v>
      </c>
      <c r="I20" s="5">
        <v>44725</v>
      </c>
      <c r="J20" s="3">
        <v>10000</v>
      </c>
      <c r="K20" s="3">
        <v>7</v>
      </c>
      <c r="L20" s="3">
        <v>9712763149</v>
      </c>
      <c r="M20" s="3" t="s">
        <v>32</v>
      </c>
    </row>
    <row r="21" spans="2:13" ht="14.25" customHeight="1">
      <c r="B21" s="3">
        <v>17</v>
      </c>
      <c r="C21" s="3" t="s">
        <v>40</v>
      </c>
      <c r="D21" s="3">
        <v>118</v>
      </c>
      <c r="E21" s="3" t="s">
        <v>14</v>
      </c>
      <c r="F21" s="4">
        <v>35946</v>
      </c>
      <c r="G21" s="3" t="s">
        <v>15</v>
      </c>
      <c r="H21" s="5">
        <v>44494</v>
      </c>
      <c r="I21" s="5">
        <v>45097</v>
      </c>
      <c r="J21" s="3">
        <v>10000</v>
      </c>
      <c r="K21" s="3">
        <v>5</v>
      </c>
      <c r="L21" s="3">
        <v>9750297284</v>
      </c>
      <c r="M21" s="3" t="s">
        <v>20</v>
      </c>
    </row>
    <row r="22" spans="2:13" ht="14.25" customHeight="1">
      <c r="B22" s="3">
        <v>18</v>
      </c>
      <c r="C22" s="3" t="s">
        <v>41</v>
      </c>
      <c r="D22" s="3">
        <v>119</v>
      </c>
      <c r="E22" s="3" t="s">
        <v>18</v>
      </c>
      <c r="F22" s="4">
        <v>35239</v>
      </c>
      <c r="G22" s="3" t="s">
        <v>19</v>
      </c>
      <c r="H22" s="5">
        <v>44332</v>
      </c>
      <c r="I22" s="5">
        <v>44673</v>
      </c>
      <c r="J22" s="3">
        <v>35000</v>
      </c>
      <c r="K22" s="3">
        <v>9</v>
      </c>
      <c r="L22" s="3">
        <v>9356037554</v>
      </c>
      <c r="M22" s="3" t="s">
        <v>32</v>
      </c>
    </row>
    <row r="23" spans="2:13" ht="14.25" customHeight="1">
      <c r="B23" s="3">
        <v>19</v>
      </c>
      <c r="C23" s="3" t="s">
        <v>42</v>
      </c>
      <c r="D23" s="3">
        <v>120</v>
      </c>
      <c r="E23" s="3" t="s">
        <v>18</v>
      </c>
      <c r="F23" s="4">
        <v>33573</v>
      </c>
      <c r="G23" s="3" t="s">
        <v>15</v>
      </c>
      <c r="H23" s="5">
        <v>44604</v>
      </c>
      <c r="I23" s="5">
        <v>45195</v>
      </c>
      <c r="J23" s="3">
        <v>20000</v>
      </c>
      <c r="K23" s="3">
        <v>3</v>
      </c>
      <c r="L23" s="3">
        <v>9816090272</v>
      </c>
      <c r="M23" s="3" t="s">
        <v>29</v>
      </c>
    </row>
    <row r="24" spans="2:13" ht="14.25" customHeight="1">
      <c r="B24" s="3">
        <v>20</v>
      </c>
      <c r="C24" s="3" t="s">
        <v>43</v>
      </c>
      <c r="D24" s="3">
        <v>121</v>
      </c>
      <c r="E24" s="3" t="s">
        <v>18</v>
      </c>
      <c r="F24" s="4">
        <v>36573</v>
      </c>
      <c r="G24" s="3" t="s">
        <v>15</v>
      </c>
      <c r="H24" s="5">
        <v>44438</v>
      </c>
      <c r="I24" s="5">
        <v>44857</v>
      </c>
      <c r="J24" s="3">
        <v>20000</v>
      </c>
      <c r="K24" s="3">
        <v>6</v>
      </c>
      <c r="L24" s="3">
        <v>9372396296</v>
      </c>
      <c r="M24" s="3" t="s">
        <v>27</v>
      </c>
    </row>
    <row r="25" spans="2:13" ht="14.25" customHeight="1">
      <c r="B25" s="3">
        <v>21</v>
      </c>
      <c r="C25" s="3" t="s">
        <v>44</v>
      </c>
      <c r="D25" s="3">
        <v>112</v>
      </c>
      <c r="E25" s="3" t="s">
        <v>14</v>
      </c>
      <c r="F25" s="4">
        <v>37047</v>
      </c>
      <c r="G25" s="3" t="s">
        <v>25</v>
      </c>
      <c r="H25" s="5">
        <v>44431</v>
      </c>
      <c r="I25" s="5">
        <v>45038</v>
      </c>
      <c r="J25" s="3">
        <v>18000</v>
      </c>
      <c r="K25" s="3">
        <v>1</v>
      </c>
      <c r="L25" s="3">
        <v>9756436801</v>
      </c>
      <c r="M25" s="3" t="s">
        <v>16</v>
      </c>
    </row>
    <row r="26" spans="2:13" ht="14.25" customHeight="1">
      <c r="B26" s="3">
        <v>22</v>
      </c>
      <c r="C26" s="3" t="s">
        <v>45</v>
      </c>
      <c r="D26" s="3">
        <v>113</v>
      </c>
      <c r="E26" s="3" t="s">
        <v>14</v>
      </c>
      <c r="F26" s="4">
        <v>37089</v>
      </c>
      <c r="G26" s="3" t="s">
        <v>22</v>
      </c>
      <c r="H26" s="5">
        <v>44553</v>
      </c>
      <c r="I26" s="5">
        <v>44950</v>
      </c>
      <c r="J26" s="3">
        <v>35000</v>
      </c>
      <c r="K26" s="3">
        <v>6</v>
      </c>
      <c r="L26" s="3">
        <v>9260569132</v>
      </c>
      <c r="M26" s="3" t="s">
        <v>20</v>
      </c>
    </row>
    <row r="27" spans="2:13" ht="14.25" customHeight="1">
      <c r="B27" s="3">
        <v>23</v>
      </c>
      <c r="C27" s="3" t="s">
        <v>46</v>
      </c>
      <c r="D27" s="3">
        <v>114</v>
      </c>
      <c r="E27" s="3" t="s">
        <v>18</v>
      </c>
      <c r="F27" s="4">
        <v>33699</v>
      </c>
      <c r="G27" s="3" t="s">
        <v>19</v>
      </c>
      <c r="H27" s="5">
        <v>44577</v>
      </c>
      <c r="I27" s="5">
        <v>45149</v>
      </c>
      <c r="J27" s="3">
        <v>20000</v>
      </c>
      <c r="K27" s="3">
        <v>3</v>
      </c>
      <c r="L27" s="3">
        <v>9521494464</v>
      </c>
      <c r="M27" s="3" t="s">
        <v>16</v>
      </c>
    </row>
    <row r="28" spans="2:13" ht="14.25" customHeight="1">
      <c r="B28" s="3">
        <v>24</v>
      </c>
      <c r="C28" s="3" t="s">
        <v>47</v>
      </c>
      <c r="D28" s="3">
        <v>115</v>
      </c>
      <c r="E28" s="3" t="s">
        <v>18</v>
      </c>
      <c r="F28" s="4">
        <v>35431</v>
      </c>
      <c r="G28" s="3" t="s">
        <v>22</v>
      </c>
      <c r="H28" s="5">
        <v>44507</v>
      </c>
      <c r="I28" s="5">
        <v>44885</v>
      </c>
      <c r="J28" s="3">
        <v>18000</v>
      </c>
      <c r="K28" s="3">
        <v>7</v>
      </c>
      <c r="L28" s="3">
        <v>9592356344</v>
      </c>
      <c r="M28" s="3" t="s">
        <v>16</v>
      </c>
    </row>
    <row r="29" spans="2:13" ht="14.25" customHeight="1">
      <c r="B29" s="3">
        <v>25</v>
      </c>
      <c r="C29" s="3" t="s">
        <v>48</v>
      </c>
      <c r="D29" s="3">
        <v>116</v>
      </c>
      <c r="E29" s="3" t="s">
        <v>18</v>
      </c>
      <c r="F29" s="4">
        <v>37062</v>
      </c>
      <c r="G29" s="3" t="s">
        <v>22</v>
      </c>
      <c r="H29" s="5">
        <v>44456</v>
      </c>
      <c r="I29" s="5">
        <v>44872</v>
      </c>
      <c r="J29" s="3">
        <v>20000</v>
      </c>
      <c r="K29" s="3">
        <v>10</v>
      </c>
      <c r="L29" s="3">
        <v>9420689442</v>
      </c>
      <c r="M29" s="3" t="s">
        <v>20</v>
      </c>
    </row>
    <row r="30" spans="2:13" ht="14.25" customHeight="1">
      <c r="B30" s="3">
        <v>26</v>
      </c>
      <c r="C30" s="3" t="s">
        <v>49</v>
      </c>
      <c r="D30" s="3">
        <v>117</v>
      </c>
      <c r="E30" s="3" t="s">
        <v>18</v>
      </c>
      <c r="F30" s="4">
        <v>33962</v>
      </c>
      <c r="G30" s="3" t="s">
        <v>25</v>
      </c>
      <c r="H30" s="5">
        <v>44417</v>
      </c>
      <c r="I30" s="5">
        <v>44946</v>
      </c>
      <c r="J30" s="3">
        <v>20000</v>
      </c>
      <c r="K30" s="3">
        <v>10</v>
      </c>
      <c r="L30" s="3">
        <v>9323047053</v>
      </c>
      <c r="M30" s="3" t="s">
        <v>27</v>
      </c>
    </row>
    <row r="31" spans="2:13" ht="14.25" customHeight="1">
      <c r="B31" s="3">
        <v>27</v>
      </c>
      <c r="C31" s="3" t="s">
        <v>50</v>
      </c>
      <c r="D31" s="3">
        <v>118</v>
      </c>
      <c r="E31" s="3" t="s">
        <v>14</v>
      </c>
      <c r="F31" s="4">
        <v>36619</v>
      </c>
      <c r="G31" s="3" t="s">
        <v>25</v>
      </c>
      <c r="H31" s="5">
        <v>44395</v>
      </c>
      <c r="I31" s="5">
        <v>44512</v>
      </c>
      <c r="J31" s="3">
        <v>35000</v>
      </c>
      <c r="K31" s="3">
        <v>7</v>
      </c>
      <c r="L31" s="3">
        <v>9175236256</v>
      </c>
      <c r="M31" s="3" t="s">
        <v>29</v>
      </c>
    </row>
    <row r="32" spans="2:13" ht="14.25" customHeight="1">
      <c r="B32" s="3">
        <v>28</v>
      </c>
      <c r="C32" s="3" t="s">
        <v>51</v>
      </c>
      <c r="D32" s="3">
        <v>119</v>
      </c>
      <c r="E32" s="3" t="s">
        <v>14</v>
      </c>
      <c r="F32" s="4">
        <v>35339</v>
      </c>
      <c r="G32" s="3" t="s">
        <v>25</v>
      </c>
      <c r="H32" s="5">
        <v>44517</v>
      </c>
      <c r="I32" s="5">
        <v>44926</v>
      </c>
      <c r="J32" s="3">
        <v>35000</v>
      </c>
      <c r="K32" s="3">
        <v>6</v>
      </c>
      <c r="L32" s="3">
        <v>9650155772</v>
      </c>
      <c r="M32" s="3" t="s">
        <v>20</v>
      </c>
    </row>
    <row r="33" spans="2:13" ht="14.25" customHeight="1">
      <c r="B33" s="3">
        <v>29</v>
      </c>
      <c r="C33" s="3" t="s">
        <v>52</v>
      </c>
      <c r="D33" s="3">
        <v>110</v>
      </c>
      <c r="E33" s="3" t="s">
        <v>14</v>
      </c>
      <c r="F33" s="4">
        <v>34578</v>
      </c>
      <c r="G33" s="3" t="s">
        <v>15</v>
      </c>
      <c r="H33" s="5">
        <v>44357</v>
      </c>
      <c r="I33" s="5">
        <v>44560</v>
      </c>
      <c r="J33" s="3">
        <v>10000</v>
      </c>
      <c r="K33" s="3">
        <v>7</v>
      </c>
      <c r="L33" s="3">
        <v>9108489803</v>
      </c>
      <c r="M33" s="3" t="s">
        <v>32</v>
      </c>
    </row>
    <row r="34" spans="2:13" ht="14.25" customHeight="1">
      <c r="B34" s="3">
        <v>30</v>
      </c>
      <c r="C34" s="3" t="s">
        <v>53</v>
      </c>
      <c r="D34" s="3">
        <v>111</v>
      </c>
      <c r="E34" s="3" t="s">
        <v>14</v>
      </c>
      <c r="F34" s="4">
        <v>34635</v>
      </c>
      <c r="G34" s="3" t="s">
        <v>25</v>
      </c>
      <c r="H34" s="5">
        <v>44409</v>
      </c>
      <c r="I34" s="5">
        <v>45060</v>
      </c>
      <c r="J34" s="3">
        <v>18000</v>
      </c>
      <c r="K34" s="3">
        <v>5</v>
      </c>
      <c r="L34" s="3">
        <v>9175153983</v>
      </c>
      <c r="M34" s="3" t="s">
        <v>16</v>
      </c>
    </row>
    <row r="35" spans="2:13" ht="14.25" customHeight="1">
      <c r="B35" s="3">
        <v>31</v>
      </c>
      <c r="C35" s="3" t="s">
        <v>54</v>
      </c>
      <c r="D35" s="3">
        <v>112</v>
      </c>
      <c r="E35" s="3" t="s">
        <v>18</v>
      </c>
      <c r="F35" s="4">
        <v>37176</v>
      </c>
      <c r="G35" s="3" t="s">
        <v>22</v>
      </c>
      <c r="H35" s="5">
        <v>44325</v>
      </c>
      <c r="I35" s="5">
        <v>44976</v>
      </c>
      <c r="J35" s="3">
        <v>10000</v>
      </c>
      <c r="K35" s="3">
        <v>3</v>
      </c>
      <c r="L35" s="3">
        <v>9256089954</v>
      </c>
      <c r="M35" s="3" t="s">
        <v>32</v>
      </c>
    </row>
    <row r="36" spans="2:13" ht="14.25" customHeight="1">
      <c r="B36" s="3">
        <v>32</v>
      </c>
      <c r="C36" s="3" t="s">
        <v>55</v>
      </c>
      <c r="D36" s="3">
        <v>113</v>
      </c>
      <c r="E36" s="3" t="s">
        <v>14</v>
      </c>
      <c r="F36" s="4">
        <v>36068</v>
      </c>
      <c r="G36" s="3" t="s">
        <v>22</v>
      </c>
      <c r="H36" s="5">
        <v>44408</v>
      </c>
      <c r="I36" s="5">
        <v>44988</v>
      </c>
      <c r="J36" s="3">
        <v>35000</v>
      </c>
      <c r="K36" s="3">
        <v>4</v>
      </c>
      <c r="L36" s="3">
        <v>9471908056</v>
      </c>
      <c r="M36" s="3" t="s">
        <v>32</v>
      </c>
    </row>
    <row r="37" spans="2:13" ht="14.25" customHeight="1">
      <c r="B37" s="3">
        <v>33</v>
      </c>
      <c r="C37" s="3" t="s">
        <v>56</v>
      </c>
      <c r="D37" s="3">
        <v>114</v>
      </c>
      <c r="E37" s="3" t="s">
        <v>14</v>
      </c>
      <c r="F37" s="4">
        <v>34912</v>
      </c>
      <c r="G37" s="3" t="s">
        <v>19</v>
      </c>
      <c r="H37" s="5">
        <v>44512</v>
      </c>
      <c r="I37" s="5">
        <v>44625</v>
      </c>
      <c r="J37" s="3">
        <v>35000</v>
      </c>
      <c r="K37" s="3">
        <v>7</v>
      </c>
      <c r="L37" s="3">
        <v>9361742681</v>
      </c>
      <c r="M37" s="3" t="s">
        <v>27</v>
      </c>
    </row>
    <row r="38" spans="2:13" ht="14.25" customHeight="1">
      <c r="B38" s="3">
        <v>34</v>
      </c>
      <c r="C38" s="3" t="s">
        <v>57</v>
      </c>
      <c r="D38" s="3">
        <v>115</v>
      </c>
      <c r="E38" s="3" t="s">
        <v>14</v>
      </c>
      <c r="F38" s="4">
        <v>36437</v>
      </c>
      <c r="G38" s="3" t="s">
        <v>25</v>
      </c>
      <c r="H38" s="5">
        <v>44593</v>
      </c>
      <c r="I38" s="5">
        <v>45316</v>
      </c>
      <c r="J38" s="3">
        <v>20000</v>
      </c>
      <c r="K38" s="3">
        <v>6</v>
      </c>
      <c r="L38" s="3">
        <v>9550307866</v>
      </c>
      <c r="M38" s="3" t="s">
        <v>29</v>
      </c>
    </row>
    <row r="39" spans="2:13" ht="14.25" customHeight="1">
      <c r="B39" s="3">
        <v>35</v>
      </c>
      <c r="C39" s="3" t="s">
        <v>58</v>
      </c>
      <c r="D39" s="3">
        <v>116</v>
      </c>
      <c r="E39" s="3" t="s">
        <v>18</v>
      </c>
      <c r="F39" s="4">
        <v>33535</v>
      </c>
      <c r="G39" s="3" t="s">
        <v>15</v>
      </c>
      <c r="H39" s="5">
        <v>44467</v>
      </c>
      <c r="I39" s="5">
        <v>44659</v>
      </c>
      <c r="J39" s="3">
        <v>10000</v>
      </c>
      <c r="K39" s="3">
        <v>7</v>
      </c>
      <c r="L39" s="3">
        <v>9456201256</v>
      </c>
      <c r="M39" s="3" t="s">
        <v>27</v>
      </c>
    </row>
    <row r="40" spans="2:13" ht="14.25" customHeight="1">
      <c r="B40" s="3">
        <v>36</v>
      </c>
      <c r="C40" s="3" t="s">
        <v>59</v>
      </c>
      <c r="D40" s="3">
        <v>117</v>
      </c>
      <c r="E40" s="3" t="s">
        <v>18</v>
      </c>
      <c r="F40" s="4">
        <v>35077</v>
      </c>
      <c r="G40" s="3" t="s">
        <v>22</v>
      </c>
      <c r="H40" s="5">
        <v>44315</v>
      </c>
      <c r="I40" s="5">
        <v>44668</v>
      </c>
      <c r="J40" s="3">
        <v>10000</v>
      </c>
      <c r="K40" s="3">
        <v>2</v>
      </c>
      <c r="L40" s="3">
        <v>9234670550</v>
      </c>
      <c r="M40" s="3" t="s">
        <v>32</v>
      </c>
    </row>
    <row r="41" spans="2:13" ht="14.25" customHeight="1">
      <c r="B41" s="3">
        <v>37</v>
      </c>
      <c r="C41" s="3" t="s">
        <v>60</v>
      </c>
      <c r="D41" s="3">
        <v>118</v>
      </c>
      <c r="E41" s="3" t="s">
        <v>14</v>
      </c>
      <c r="F41" s="4">
        <v>33690</v>
      </c>
      <c r="G41" s="3" t="s">
        <v>19</v>
      </c>
      <c r="H41" s="5">
        <v>44605</v>
      </c>
      <c r="I41" s="5">
        <v>45179</v>
      </c>
      <c r="J41" s="3">
        <v>35000</v>
      </c>
      <c r="K41" s="3">
        <v>9</v>
      </c>
      <c r="L41" s="3">
        <v>9623465455</v>
      </c>
      <c r="M41" s="3" t="s">
        <v>20</v>
      </c>
    </row>
    <row r="42" spans="2:13" ht="14.25" customHeight="1">
      <c r="B42" s="3">
        <v>38</v>
      </c>
      <c r="C42" s="3" t="s">
        <v>61</v>
      </c>
      <c r="D42" s="3">
        <v>119</v>
      </c>
      <c r="E42" s="3" t="s">
        <v>14</v>
      </c>
      <c r="F42" s="4">
        <v>33880</v>
      </c>
      <c r="G42" s="3" t="s">
        <v>19</v>
      </c>
      <c r="H42" s="5">
        <v>44444</v>
      </c>
      <c r="I42" s="5">
        <v>44931</v>
      </c>
      <c r="J42" s="3">
        <v>10000</v>
      </c>
      <c r="K42" s="3">
        <v>8</v>
      </c>
      <c r="L42" s="3">
        <v>9257334815</v>
      </c>
      <c r="M42" s="3" t="s">
        <v>32</v>
      </c>
    </row>
    <row r="43" spans="2:13" ht="14.25" customHeight="1">
      <c r="B43" s="3">
        <v>39</v>
      </c>
      <c r="C43" s="3" t="s">
        <v>62</v>
      </c>
      <c r="D43" s="3">
        <v>120</v>
      </c>
      <c r="E43" s="3" t="s">
        <v>18</v>
      </c>
      <c r="F43" s="4">
        <v>33960</v>
      </c>
      <c r="G43" s="3" t="s">
        <v>25</v>
      </c>
      <c r="H43" s="5">
        <v>44456</v>
      </c>
      <c r="I43" s="5">
        <v>44940</v>
      </c>
      <c r="J43" s="3">
        <v>35000</v>
      </c>
      <c r="K43" s="3">
        <v>10</v>
      </c>
      <c r="L43" s="3">
        <v>9463131191</v>
      </c>
      <c r="M43" s="3" t="s">
        <v>29</v>
      </c>
    </row>
    <row r="44" spans="2:13" ht="14.25" customHeight="1">
      <c r="B44" s="3">
        <v>40</v>
      </c>
      <c r="C44" s="3" t="s">
        <v>63</v>
      </c>
      <c r="D44" s="3">
        <v>121</v>
      </c>
      <c r="E44" s="3" t="s">
        <v>14</v>
      </c>
      <c r="F44" s="4">
        <v>35680</v>
      </c>
      <c r="G44" s="3" t="s">
        <v>19</v>
      </c>
      <c r="H44" s="5">
        <v>44565</v>
      </c>
      <c r="I44" s="5">
        <v>45215</v>
      </c>
      <c r="J44" s="3">
        <v>18000</v>
      </c>
      <c r="K44" s="3">
        <v>3</v>
      </c>
      <c r="L44" s="3">
        <v>9659532373</v>
      </c>
      <c r="M44" s="3" t="s">
        <v>27</v>
      </c>
    </row>
    <row r="45" spans="2:13" ht="14.25" customHeight="1"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</row>
    <row r="46" spans="2:13" ht="14.25" customHeight="1"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</row>
    <row r="47" spans="2:13" ht="14.25" customHeight="1"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</row>
    <row r="48" spans="2:13" ht="14.25" customHeight="1"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N8" sqref="N8"/>
    </sheetView>
  </sheetViews>
  <sheetFormatPr defaultColWidth="14.42578125" defaultRowHeight="15" customHeight="1"/>
  <cols>
    <col min="1" max="1" width="8.7109375" customWidth="1"/>
    <col min="2" max="2" width="12.42578125" customWidth="1"/>
    <col min="3" max="13" width="8.7109375" customWidth="1"/>
    <col min="14" max="14" width="9.7109375" customWidth="1"/>
    <col min="15" max="26" width="8.7109375" customWidth="1"/>
  </cols>
  <sheetData>
    <row r="1" spans="1:15" ht="14.25" customHeight="1">
      <c r="A1" s="102" t="s">
        <v>64</v>
      </c>
      <c r="B1" s="100"/>
      <c r="C1" s="100"/>
      <c r="D1" s="100"/>
      <c r="E1" s="100"/>
      <c r="F1" s="100"/>
      <c r="G1" s="100"/>
      <c r="H1" s="100"/>
      <c r="I1" s="100"/>
      <c r="J1" s="97"/>
      <c r="K1" s="97"/>
      <c r="L1" s="97"/>
      <c r="M1" s="97"/>
      <c r="N1" s="97"/>
      <c r="O1" s="97"/>
    </row>
    <row r="2" spans="1:15" ht="14.25" customHeight="1">
      <c r="A2" s="103" t="s">
        <v>65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5" ht="14.25" customHeight="1">
      <c r="A3" s="6" t="s">
        <v>66</v>
      </c>
      <c r="B3" s="6" t="s">
        <v>67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</row>
    <row r="4" spans="1:15" ht="14.25" customHeight="1">
      <c r="A4" s="6" t="s">
        <v>68</v>
      </c>
      <c r="B4" s="6" t="s">
        <v>69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</row>
    <row r="5" spans="1:15" ht="14.25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</row>
    <row r="6" spans="1:15" ht="14.25" customHeight="1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</row>
    <row r="7" spans="1:15" ht="14.25" customHeight="1">
      <c r="A7" s="7" t="s">
        <v>70</v>
      </c>
      <c r="B7" s="8" t="s">
        <v>71</v>
      </c>
      <c r="C7" s="8" t="s">
        <v>72</v>
      </c>
      <c r="D7" s="8" t="s">
        <v>73</v>
      </c>
      <c r="E7" s="8" t="s">
        <v>74</v>
      </c>
      <c r="F7" s="8" t="s">
        <v>75</v>
      </c>
      <c r="G7" s="8" t="s">
        <v>76</v>
      </c>
      <c r="H7" s="8" t="s">
        <v>77</v>
      </c>
      <c r="I7" s="8" t="s">
        <v>78</v>
      </c>
      <c r="J7" s="8" t="s">
        <v>79</v>
      </c>
      <c r="K7" s="8" t="s">
        <v>80</v>
      </c>
      <c r="L7" s="8" t="s">
        <v>81</v>
      </c>
      <c r="M7" s="8" t="s">
        <v>82</v>
      </c>
      <c r="N7" s="10" t="s">
        <v>83</v>
      </c>
      <c r="O7" s="97"/>
    </row>
    <row r="8" spans="1:15" ht="14.25" customHeight="1">
      <c r="A8" s="9">
        <v>1</v>
      </c>
      <c r="B8" s="77" t="s">
        <v>84</v>
      </c>
      <c r="C8" s="77">
        <v>50</v>
      </c>
      <c r="D8" s="77">
        <v>65</v>
      </c>
      <c r="E8" s="77">
        <v>85</v>
      </c>
      <c r="F8" s="77">
        <v>45</v>
      </c>
      <c r="G8" s="77">
        <v>95</v>
      </c>
      <c r="H8" s="77">
        <v>59</v>
      </c>
      <c r="I8" s="15">
        <f>SUM(C8:H8)</f>
        <v>399</v>
      </c>
      <c r="J8" s="17">
        <f>I8/600</f>
        <v>0.66500000000000004</v>
      </c>
      <c r="K8" s="15">
        <f>MAX(C8:H8)</f>
        <v>95</v>
      </c>
      <c r="L8" s="15">
        <f>MIN(C8:H8)</f>
        <v>45</v>
      </c>
      <c r="M8" s="19">
        <f>AVERAGE(C8:H8)</f>
        <v>66.5</v>
      </c>
      <c r="N8" s="78" t="str">
        <f>IF(J8&gt;=35%,"Pass","FAIL")</f>
        <v>Pass</v>
      </c>
      <c r="O8" s="97"/>
    </row>
    <row r="9" spans="1:15" ht="14.25" customHeight="1">
      <c r="A9" s="13">
        <v>2</v>
      </c>
      <c r="B9" s="16" t="s">
        <v>85</v>
      </c>
      <c r="C9" s="16">
        <v>77</v>
      </c>
      <c r="D9" s="16">
        <v>42</v>
      </c>
      <c r="E9" s="16">
        <v>51</v>
      </c>
      <c r="F9" s="16">
        <v>82</v>
      </c>
      <c r="G9" s="16">
        <v>99</v>
      </c>
      <c r="H9" s="16">
        <v>50</v>
      </c>
      <c r="I9" s="15">
        <f t="shared" ref="I9:I19" si="0">SUM(C9:H9)</f>
        <v>401</v>
      </c>
      <c r="J9" s="17">
        <f t="shared" ref="J9:J19" si="1">I9/600</f>
        <v>0.66833333333333333</v>
      </c>
      <c r="K9" s="15">
        <f t="shared" ref="K9:K19" si="2">MAX(C9:H9)</f>
        <v>99</v>
      </c>
      <c r="L9" s="15">
        <f t="shared" ref="L9:L19" si="3">MIN(C9:H9)</f>
        <v>42</v>
      </c>
      <c r="M9" s="19">
        <f t="shared" ref="M9:M19" si="4">AVERAGE(C9:H9)</f>
        <v>66.833333333333329</v>
      </c>
      <c r="N9" s="78" t="str">
        <f t="shared" ref="N9:N19" si="5">IF(J9&gt;=35%,"Pass","FAIL")</f>
        <v>Pass</v>
      </c>
      <c r="O9" s="97"/>
    </row>
    <row r="10" spans="1:15" ht="14.25" customHeight="1">
      <c r="A10" s="13">
        <v>3</v>
      </c>
      <c r="B10" s="16" t="s">
        <v>86</v>
      </c>
      <c r="C10" s="16">
        <v>74</v>
      </c>
      <c r="D10" s="16">
        <v>29</v>
      </c>
      <c r="E10" s="16">
        <v>96</v>
      </c>
      <c r="F10" s="16">
        <v>27</v>
      </c>
      <c r="G10" s="16">
        <v>100</v>
      </c>
      <c r="H10" s="16">
        <v>53</v>
      </c>
      <c r="I10" s="15">
        <f t="shared" si="0"/>
        <v>379</v>
      </c>
      <c r="J10" s="17">
        <f t="shared" si="1"/>
        <v>0.63166666666666671</v>
      </c>
      <c r="K10" s="15">
        <f t="shared" si="2"/>
        <v>100</v>
      </c>
      <c r="L10" s="15">
        <f t="shared" si="3"/>
        <v>27</v>
      </c>
      <c r="M10" s="19">
        <f t="shared" si="4"/>
        <v>63.166666666666664</v>
      </c>
      <c r="N10" s="78" t="str">
        <f t="shared" si="5"/>
        <v>Pass</v>
      </c>
      <c r="O10" s="97"/>
    </row>
    <row r="11" spans="1:15" ht="14.25" customHeight="1">
      <c r="A11" s="13">
        <v>4</v>
      </c>
      <c r="B11" s="16" t="s">
        <v>87</v>
      </c>
      <c r="C11" s="16">
        <v>48</v>
      </c>
      <c r="D11" s="16">
        <v>64</v>
      </c>
      <c r="E11" s="16">
        <v>77</v>
      </c>
      <c r="F11" s="16">
        <v>82</v>
      </c>
      <c r="G11" s="16">
        <v>80</v>
      </c>
      <c r="H11" s="16">
        <v>75</v>
      </c>
      <c r="I11" s="15">
        <f t="shared" si="0"/>
        <v>426</v>
      </c>
      <c r="J11" s="17">
        <f t="shared" si="1"/>
        <v>0.71</v>
      </c>
      <c r="K11" s="15">
        <f t="shared" si="2"/>
        <v>82</v>
      </c>
      <c r="L11" s="15">
        <f t="shared" si="3"/>
        <v>48</v>
      </c>
      <c r="M11" s="19">
        <f t="shared" si="4"/>
        <v>71</v>
      </c>
      <c r="N11" s="78" t="str">
        <f t="shared" si="5"/>
        <v>Pass</v>
      </c>
      <c r="O11" s="97"/>
    </row>
    <row r="12" spans="1:15" ht="14.25" customHeight="1">
      <c r="A12" s="13">
        <v>5</v>
      </c>
      <c r="B12" s="16" t="s">
        <v>88</v>
      </c>
      <c r="C12" s="16">
        <v>30</v>
      </c>
      <c r="D12" s="16">
        <v>31</v>
      </c>
      <c r="E12" s="16">
        <v>53</v>
      </c>
      <c r="F12" s="16">
        <v>35</v>
      </c>
      <c r="G12" s="16">
        <v>75</v>
      </c>
      <c r="H12" s="16">
        <v>79</v>
      </c>
      <c r="I12" s="15">
        <f t="shared" si="0"/>
        <v>303</v>
      </c>
      <c r="J12" s="17">
        <f t="shared" si="1"/>
        <v>0.505</v>
      </c>
      <c r="K12" s="15">
        <f t="shared" si="2"/>
        <v>79</v>
      </c>
      <c r="L12" s="15">
        <f t="shared" si="3"/>
        <v>30</v>
      </c>
      <c r="M12" s="19">
        <f t="shared" si="4"/>
        <v>50.5</v>
      </c>
      <c r="N12" s="78" t="str">
        <f t="shared" si="5"/>
        <v>Pass</v>
      </c>
      <c r="O12" s="97"/>
    </row>
    <row r="13" spans="1:15" ht="14.25" customHeight="1">
      <c r="A13" s="13">
        <v>6</v>
      </c>
      <c r="B13" s="16" t="s">
        <v>89</v>
      </c>
      <c r="C13" s="16">
        <v>65</v>
      </c>
      <c r="D13" s="16">
        <v>67</v>
      </c>
      <c r="E13" s="16">
        <v>97</v>
      </c>
      <c r="F13" s="16">
        <v>70</v>
      </c>
      <c r="G13" s="16">
        <v>61</v>
      </c>
      <c r="H13" s="16">
        <v>86</v>
      </c>
      <c r="I13" s="15">
        <f t="shared" si="0"/>
        <v>446</v>
      </c>
      <c r="J13" s="17">
        <f t="shared" si="1"/>
        <v>0.74333333333333329</v>
      </c>
      <c r="K13" s="15">
        <f t="shared" si="2"/>
        <v>97</v>
      </c>
      <c r="L13" s="15">
        <f t="shared" si="3"/>
        <v>61</v>
      </c>
      <c r="M13" s="19">
        <f t="shared" si="4"/>
        <v>74.333333333333329</v>
      </c>
      <c r="N13" s="78" t="str">
        <f t="shared" si="5"/>
        <v>Pass</v>
      </c>
      <c r="O13" s="97"/>
    </row>
    <row r="14" spans="1:15" ht="14.25" customHeight="1">
      <c r="A14" s="13">
        <v>7</v>
      </c>
      <c r="B14" s="16" t="s">
        <v>90</v>
      </c>
      <c r="C14" s="16">
        <v>43</v>
      </c>
      <c r="D14" s="16">
        <v>93</v>
      </c>
      <c r="E14" s="16">
        <v>84</v>
      </c>
      <c r="F14" s="16">
        <v>51</v>
      </c>
      <c r="G14" s="16">
        <v>90</v>
      </c>
      <c r="H14" s="16">
        <v>40</v>
      </c>
      <c r="I14" s="15">
        <f t="shared" si="0"/>
        <v>401</v>
      </c>
      <c r="J14" s="17">
        <f t="shared" si="1"/>
        <v>0.66833333333333333</v>
      </c>
      <c r="K14" s="15">
        <f t="shared" si="2"/>
        <v>93</v>
      </c>
      <c r="L14" s="15">
        <f t="shared" si="3"/>
        <v>40</v>
      </c>
      <c r="M14" s="19">
        <f t="shared" si="4"/>
        <v>66.833333333333329</v>
      </c>
      <c r="N14" s="78" t="str">
        <f t="shared" si="5"/>
        <v>Pass</v>
      </c>
      <c r="O14" s="97"/>
    </row>
    <row r="15" spans="1:15" ht="14.25" customHeight="1">
      <c r="A15" s="13">
        <v>8</v>
      </c>
      <c r="B15" s="16" t="s">
        <v>91</v>
      </c>
      <c r="C15" s="16">
        <v>83</v>
      </c>
      <c r="D15" s="16">
        <v>75</v>
      </c>
      <c r="E15" s="16">
        <v>82</v>
      </c>
      <c r="F15" s="16">
        <v>27</v>
      </c>
      <c r="G15" s="16">
        <v>30</v>
      </c>
      <c r="H15" s="16">
        <v>37</v>
      </c>
      <c r="I15" s="15">
        <f t="shared" si="0"/>
        <v>334</v>
      </c>
      <c r="J15" s="17">
        <f t="shared" si="1"/>
        <v>0.55666666666666664</v>
      </c>
      <c r="K15" s="15">
        <f t="shared" si="2"/>
        <v>83</v>
      </c>
      <c r="L15" s="15">
        <f t="shared" si="3"/>
        <v>27</v>
      </c>
      <c r="M15" s="19">
        <f t="shared" si="4"/>
        <v>55.666666666666664</v>
      </c>
      <c r="N15" s="78" t="str">
        <f t="shared" si="5"/>
        <v>Pass</v>
      </c>
      <c r="O15" s="97"/>
    </row>
    <row r="16" spans="1:15" ht="14.25" customHeight="1">
      <c r="A16" s="13">
        <v>9</v>
      </c>
      <c r="B16" s="16" t="s">
        <v>92</v>
      </c>
      <c r="C16" s="16">
        <v>68</v>
      </c>
      <c r="D16" s="16">
        <v>90</v>
      </c>
      <c r="E16" s="16">
        <v>78</v>
      </c>
      <c r="F16" s="16">
        <v>40</v>
      </c>
      <c r="G16" s="16">
        <v>76</v>
      </c>
      <c r="H16" s="16">
        <v>41</v>
      </c>
      <c r="I16" s="15">
        <f t="shared" si="0"/>
        <v>393</v>
      </c>
      <c r="J16" s="17">
        <f t="shared" si="1"/>
        <v>0.65500000000000003</v>
      </c>
      <c r="K16" s="15">
        <f t="shared" si="2"/>
        <v>90</v>
      </c>
      <c r="L16" s="15">
        <f t="shared" si="3"/>
        <v>40</v>
      </c>
      <c r="M16" s="19">
        <f t="shared" si="4"/>
        <v>65.5</v>
      </c>
      <c r="N16" s="78" t="str">
        <f t="shared" si="5"/>
        <v>Pass</v>
      </c>
      <c r="O16" s="97"/>
    </row>
    <row r="17" spans="1:14" ht="14.25" customHeight="1">
      <c r="A17" s="13">
        <v>10</v>
      </c>
      <c r="B17" s="16" t="s">
        <v>93</v>
      </c>
      <c r="C17" s="16">
        <v>95</v>
      </c>
      <c r="D17" s="16">
        <v>37</v>
      </c>
      <c r="E17" s="16">
        <v>53</v>
      </c>
      <c r="F17" s="16">
        <v>76</v>
      </c>
      <c r="G17" s="16">
        <v>78</v>
      </c>
      <c r="H17" s="16">
        <v>37</v>
      </c>
      <c r="I17" s="15">
        <f t="shared" si="0"/>
        <v>376</v>
      </c>
      <c r="J17" s="17">
        <f t="shared" si="1"/>
        <v>0.62666666666666671</v>
      </c>
      <c r="K17" s="15">
        <f t="shared" si="2"/>
        <v>95</v>
      </c>
      <c r="L17" s="15">
        <f t="shared" si="3"/>
        <v>37</v>
      </c>
      <c r="M17" s="19">
        <f t="shared" si="4"/>
        <v>62.666666666666664</v>
      </c>
      <c r="N17" s="78" t="str">
        <f t="shared" si="5"/>
        <v>Pass</v>
      </c>
    </row>
    <row r="18" spans="1:14" ht="14.25" customHeight="1">
      <c r="A18" s="13">
        <v>11</v>
      </c>
      <c r="B18" s="16" t="s">
        <v>94</v>
      </c>
      <c r="C18" s="16">
        <v>99</v>
      </c>
      <c r="D18" s="16">
        <v>81</v>
      </c>
      <c r="E18" s="16">
        <v>32</v>
      </c>
      <c r="F18" s="16">
        <v>59</v>
      </c>
      <c r="G18" s="16">
        <v>75</v>
      </c>
      <c r="H18" s="16">
        <v>53</v>
      </c>
      <c r="I18" s="15">
        <f t="shared" si="0"/>
        <v>399</v>
      </c>
      <c r="J18" s="17">
        <f t="shared" si="1"/>
        <v>0.66500000000000004</v>
      </c>
      <c r="K18" s="15">
        <f t="shared" si="2"/>
        <v>99</v>
      </c>
      <c r="L18" s="15">
        <f t="shared" si="3"/>
        <v>32</v>
      </c>
      <c r="M18" s="19">
        <f t="shared" si="4"/>
        <v>66.5</v>
      </c>
      <c r="N18" s="78" t="str">
        <f t="shared" si="5"/>
        <v>Pass</v>
      </c>
    </row>
    <row r="19" spans="1:14" ht="14.25" customHeight="1">
      <c r="A19" s="24">
        <v>12</v>
      </c>
      <c r="B19" s="25" t="s">
        <v>95</v>
      </c>
      <c r="C19" s="25">
        <v>10</v>
      </c>
      <c r="D19" s="25">
        <v>15</v>
      </c>
      <c r="E19" s="25">
        <v>20</v>
      </c>
      <c r="F19" s="25">
        <v>25</v>
      </c>
      <c r="G19" s="25">
        <v>15</v>
      </c>
      <c r="H19" s="25">
        <v>68</v>
      </c>
      <c r="I19" s="15">
        <f t="shared" si="0"/>
        <v>153</v>
      </c>
      <c r="J19" s="17">
        <f t="shared" si="1"/>
        <v>0.255</v>
      </c>
      <c r="K19" s="15">
        <f t="shared" si="2"/>
        <v>68</v>
      </c>
      <c r="L19" s="15">
        <f t="shared" si="3"/>
        <v>10</v>
      </c>
      <c r="M19" s="19">
        <f t="shared" si="4"/>
        <v>25.5</v>
      </c>
      <c r="N19" s="78" t="str">
        <f t="shared" si="5"/>
        <v>FAIL</v>
      </c>
    </row>
    <row r="20" spans="1:14" ht="14.25" customHeight="1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</row>
    <row r="21" spans="1:14" ht="14.2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</row>
    <row r="22" spans="1:14" ht="14.25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</row>
    <row r="23" spans="1:14" ht="14.25" customHeight="1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</row>
    <row r="24" spans="1:14" ht="14.2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</row>
    <row r="25" spans="1:14" ht="14.2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</row>
    <row r="26" spans="1:14" ht="14.2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</row>
    <row r="27" spans="1:14" ht="14.25" customHeight="1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</row>
    <row r="28" spans="1:14" ht="14.2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</row>
    <row r="29" spans="1:14" ht="14.2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</row>
    <row r="30" spans="1:14" ht="14.2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</row>
    <row r="31" spans="1:14" ht="14.2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</row>
    <row r="32" spans="1:14" ht="14.2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:O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showGridLines="0" workbookViewId="0">
      <selection activeCell="L20" sqref="L20"/>
    </sheetView>
  </sheetViews>
  <sheetFormatPr defaultColWidth="14.42578125" defaultRowHeight="15" customHeight="1"/>
  <cols>
    <col min="1" max="1" width="8.7109375" customWidth="1"/>
    <col min="2" max="2" width="5.42578125" customWidth="1"/>
    <col min="3" max="3" width="12" customWidth="1"/>
    <col min="4" max="4" width="31.85546875" customWidth="1"/>
    <col min="5" max="5" width="12.140625" customWidth="1"/>
    <col min="6" max="26" width="8.7109375" customWidth="1"/>
  </cols>
  <sheetData>
    <row r="1" spans="1:9" ht="14.25" customHeight="1">
      <c r="A1" s="104" t="s">
        <v>96</v>
      </c>
      <c r="B1" s="100"/>
      <c r="C1" s="100"/>
      <c r="D1" s="100"/>
      <c r="E1" s="100"/>
      <c r="F1" s="100"/>
      <c r="G1" s="100"/>
      <c r="H1" s="100"/>
      <c r="I1" s="100"/>
    </row>
    <row r="2" spans="1:9" ht="14.25" customHeight="1">
      <c r="A2" s="97"/>
      <c r="B2" s="97"/>
      <c r="C2" s="97"/>
      <c r="D2" s="97" t="s">
        <v>97</v>
      </c>
      <c r="E2" s="97"/>
      <c r="F2" s="97">
        <v>0</v>
      </c>
      <c r="G2" s="97"/>
      <c r="H2" s="97"/>
      <c r="I2" s="97"/>
    </row>
    <row r="3" spans="1:9" ht="14.25" customHeight="1">
      <c r="A3" s="97"/>
      <c r="B3" s="97"/>
      <c r="C3" s="1" t="s">
        <v>98</v>
      </c>
      <c r="D3" s="97"/>
      <c r="E3" s="97"/>
      <c r="F3" s="97"/>
      <c r="G3" s="97"/>
      <c r="H3" s="97"/>
      <c r="I3" s="97"/>
    </row>
    <row r="4" spans="1:9" ht="14.25" customHeight="1">
      <c r="A4" s="97"/>
      <c r="B4" s="97"/>
      <c r="C4" s="1" t="s">
        <v>99</v>
      </c>
      <c r="D4" s="1" t="s">
        <v>100</v>
      </c>
      <c r="E4" s="97"/>
      <c r="F4" s="97"/>
      <c r="G4" s="97"/>
      <c r="H4" s="97"/>
      <c r="I4" s="97"/>
    </row>
    <row r="5" spans="1:9" ht="14.25" customHeight="1">
      <c r="A5" s="97"/>
      <c r="B5" s="97"/>
      <c r="C5" s="1" t="s">
        <v>101</v>
      </c>
      <c r="D5" s="1" t="s">
        <v>102</v>
      </c>
      <c r="E5" s="97"/>
      <c r="F5" s="97"/>
      <c r="G5" s="97"/>
      <c r="H5" s="97"/>
      <c r="I5" s="97"/>
    </row>
    <row r="6" spans="1:9" ht="14.25" customHeight="1">
      <c r="A6" s="97"/>
      <c r="B6" s="97"/>
      <c r="C6" s="1" t="s">
        <v>103</v>
      </c>
      <c r="D6" s="1" t="s">
        <v>104</v>
      </c>
      <c r="E6" s="97"/>
      <c r="F6" s="97"/>
      <c r="G6" s="97"/>
      <c r="H6" s="97"/>
      <c r="I6" s="97"/>
    </row>
    <row r="7" spans="1:9" ht="14.25" customHeight="1">
      <c r="A7" s="97"/>
      <c r="B7" s="97"/>
      <c r="C7" s="1" t="s">
        <v>105</v>
      </c>
      <c r="D7" s="1" t="s">
        <v>106</v>
      </c>
      <c r="E7" s="97"/>
      <c r="F7" s="97"/>
      <c r="G7" s="97"/>
      <c r="H7" s="97"/>
      <c r="I7" s="97"/>
    </row>
    <row r="8" spans="1:9" ht="14.25" customHeight="1">
      <c r="A8" s="97"/>
      <c r="B8" s="97"/>
      <c r="C8" s="97"/>
      <c r="D8" s="97"/>
      <c r="E8" s="97"/>
      <c r="F8" s="97"/>
      <c r="G8" s="97"/>
      <c r="H8" s="97"/>
      <c r="I8" s="97"/>
    </row>
    <row r="9" spans="1:9" ht="14.25" customHeight="1">
      <c r="A9" s="97"/>
      <c r="B9" s="7" t="s">
        <v>107</v>
      </c>
      <c r="C9" s="8" t="s">
        <v>108</v>
      </c>
      <c r="D9" s="8" t="s">
        <v>109</v>
      </c>
      <c r="E9" s="76" t="s">
        <v>110</v>
      </c>
      <c r="F9" s="97"/>
      <c r="G9" s="97"/>
      <c r="H9" s="97"/>
      <c r="I9" s="97"/>
    </row>
    <row r="10" spans="1:9" ht="14.25" customHeight="1">
      <c r="A10" s="97"/>
      <c r="B10" s="9">
        <v>1</v>
      </c>
      <c r="C10" s="77">
        <v>65</v>
      </c>
      <c r="D10" s="73" t="s">
        <v>111</v>
      </c>
      <c r="E10" s="72" t="str">
        <f>IF(C10&gt;=60,"Old",IF(AND(C10&gt;=30,C10&lt;=59),"Middle",IF(AND(C10&gt;=18,C10&lt;=29),"Young",IF(C10&lt;18,"Child"))))</f>
        <v>Old</v>
      </c>
      <c r="F10" s="75"/>
      <c r="G10" s="97"/>
      <c r="H10" s="97"/>
      <c r="I10" s="97"/>
    </row>
    <row r="11" spans="1:9" ht="14.25" customHeight="1">
      <c r="A11" s="97"/>
      <c r="B11" s="13">
        <v>2</v>
      </c>
      <c r="C11" s="16">
        <v>67</v>
      </c>
      <c r="D11" s="74" t="s">
        <v>112</v>
      </c>
      <c r="E11" s="72" t="str">
        <f t="shared" ref="E11:E19" si="0">IF(C11&gt;=60,"Old",IF(AND(C11&gt;=30,C11&lt;=59),"Middle",IF(AND(C11&gt;=18,C11&lt;=29),"Young",IF(C11&lt;18,"Child"))))</f>
        <v>Old</v>
      </c>
      <c r="F11" s="75"/>
      <c r="G11" s="97"/>
      <c r="H11" s="97"/>
      <c r="I11" s="97"/>
    </row>
    <row r="12" spans="1:9" ht="14.25" customHeight="1">
      <c r="A12" s="97"/>
      <c r="B12" s="13">
        <v>3</v>
      </c>
      <c r="C12" s="16">
        <v>25</v>
      </c>
      <c r="D12" s="74" t="s">
        <v>113</v>
      </c>
      <c r="E12" s="72" t="str">
        <f t="shared" si="0"/>
        <v>Young</v>
      </c>
      <c r="F12" s="75"/>
      <c r="G12" s="97"/>
      <c r="H12" s="97"/>
      <c r="I12" s="97"/>
    </row>
    <row r="13" spans="1:9" ht="14.25" customHeight="1">
      <c r="A13" s="97"/>
      <c r="B13" s="13">
        <v>4</v>
      </c>
      <c r="C13" s="16">
        <v>45</v>
      </c>
      <c r="D13" s="74" t="s">
        <v>114</v>
      </c>
      <c r="E13" s="72" t="str">
        <f t="shared" si="0"/>
        <v>Middle</v>
      </c>
      <c r="F13" s="75"/>
      <c r="G13" s="97"/>
      <c r="H13" s="97"/>
      <c r="I13" s="97"/>
    </row>
    <row r="14" spans="1:9" ht="14.25" customHeight="1">
      <c r="A14" s="97"/>
      <c r="B14" s="13">
        <v>5</v>
      </c>
      <c r="C14" s="16">
        <v>15</v>
      </c>
      <c r="D14" s="74" t="s">
        <v>115</v>
      </c>
      <c r="E14" s="72" t="str">
        <f t="shared" si="0"/>
        <v>Child</v>
      </c>
      <c r="F14" s="75"/>
      <c r="G14" s="97"/>
      <c r="H14" s="97"/>
      <c r="I14" s="97"/>
    </row>
    <row r="15" spans="1:9" ht="14.25" customHeight="1">
      <c r="A15" s="97"/>
      <c r="B15" s="13">
        <v>6</v>
      </c>
      <c r="C15" s="16">
        <v>80</v>
      </c>
      <c r="D15" s="74" t="s">
        <v>116</v>
      </c>
      <c r="E15" s="72" t="str">
        <f t="shared" si="0"/>
        <v>Old</v>
      </c>
      <c r="F15" s="75"/>
      <c r="G15" s="97"/>
      <c r="H15" s="97"/>
      <c r="I15" s="97"/>
    </row>
    <row r="16" spans="1:9" ht="14.25" customHeight="1">
      <c r="A16" s="97"/>
      <c r="B16" s="13">
        <v>7</v>
      </c>
      <c r="C16" s="16">
        <v>40</v>
      </c>
      <c r="D16" s="74" t="s">
        <v>117</v>
      </c>
      <c r="E16" s="72" t="str">
        <f t="shared" si="0"/>
        <v>Middle</v>
      </c>
      <c r="F16" s="75"/>
      <c r="G16" s="97"/>
      <c r="H16" s="97"/>
      <c r="I16" s="97"/>
    </row>
    <row r="17" spans="2:6" ht="14.25" customHeight="1">
      <c r="B17" s="13">
        <v>8</v>
      </c>
      <c r="C17" s="16">
        <v>17</v>
      </c>
      <c r="D17" s="74" t="s">
        <v>118</v>
      </c>
      <c r="E17" s="72" t="str">
        <f t="shared" si="0"/>
        <v>Child</v>
      </c>
      <c r="F17" s="75"/>
    </row>
    <row r="18" spans="2:6" ht="14.25" customHeight="1">
      <c r="B18" s="13">
        <v>9</v>
      </c>
      <c r="C18" s="16">
        <v>95</v>
      </c>
      <c r="D18" s="74" t="s">
        <v>119</v>
      </c>
      <c r="E18" s="72" t="str">
        <f t="shared" si="0"/>
        <v>Old</v>
      </c>
      <c r="F18" s="75"/>
    </row>
    <row r="19" spans="2:6" ht="14.25" customHeight="1">
      <c r="B19" s="13">
        <v>10</v>
      </c>
      <c r="C19" s="16">
        <v>22</v>
      </c>
      <c r="D19" s="74" t="s">
        <v>120</v>
      </c>
      <c r="E19" s="72" t="str">
        <f t="shared" si="0"/>
        <v>Young</v>
      </c>
      <c r="F19" s="75"/>
    </row>
    <row r="20" spans="2:6" ht="14.25" customHeight="1">
      <c r="B20" s="97"/>
      <c r="C20" s="97"/>
      <c r="D20" s="97"/>
      <c r="E20" s="75"/>
      <c r="F20" s="97"/>
    </row>
    <row r="21" spans="2:6" ht="14.25" customHeight="1">
      <c r="B21" s="97"/>
      <c r="C21" s="97"/>
      <c r="D21" s="97"/>
      <c r="E21" s="97"/>
      <c r="F21" s="97"/>
    </row>
    <row r="22" spans="2:6" ht="14.25" customHeight="1">
      <c r="B22" s="97"/>
      <c r="C22" s="97"/>
      <c r="D22" s="97"/>
      <c r="E22" s="97"/>
      <c r="F22" s="97"/>
    </row>
    <row r="23" spans="2:6" ht="14.25" customHeight="1">
      <c r="B23" s="97"/>
      <c r="C23" s="97"/>
      <c r="D23" s="97"/>
      <c r="E23" s="97"/>
      <c r="F23" s="97"/>
    </row>
    <row r="24" spans="2:6" ht="14.25" customHeight="1">
      <c r="B24" s="97"/>
      <c r="C24" s="97"/>
      <c r="D24" s="97"/>
      <c r="E24" s="97"/>
      <c r="F24" s="97"/>
    </row>
    <row r="25" spans="2:6" ht="14.25" customHeight="1">
      <c r="B25" s="97"/>
      <c r="C25" s="97"/>
      <c r="D25" s="97"/>
      <c r="E25" s="97"/>
      <c r="F25" s="97"/>
    </row>
    <row r="26" spans="2:6" ht="14.25" customHeight="1">
      <c r="B26" s="97"/>
      <c r="C26" s="97"/>
      <c r="D26" s="97"/>
      <c r="E26" s="97"/>
      <c r="F26" s="97"/>
    </row>
    <row r="27" spans="2:6" ht="14.25" customHeight="1">
      <c r="B27" s="97"/>
      <c r="C27" s="97"/>
      <c r="D27" s="97"/>
      <c r="E27" s="97"/>
      <c r="F27" s="97"/>
    </row>
    <row r="28" spans="2:6" ht="14.25" customHeight="1">
      <c r="B28" s="97"/>
      <c r="C28" s="97"/>
      <c r="D28" s="97"/>
      <c r="E28" s="97"/>
      <c r="F28" s="97"/>
    </row>
    <row r="29" spans="2:6" ht="14.25" customHeight="1">
      <c r="B29" s="97"/>
      <c r="C29" s="97"/>
      <c r="D29" s="97"/>
      <c r="E29" s="97"/>
      <c r="F29" s="97"/>
    </row>
    <row r="30" spans="2:6" ht="14.25" customHeight="1">
      <c r="B30" s="97"/>
      <c r="C30" s="97"/>
      <c r="D30" s="97"/>
      <c r="E30" s="97"/>
      <c r="F30" s="97"/>
    </row>
    <row r="31" spans="2:6" ht="14.25" customHeight="1">
      <c r="B31" s="97"/>
      <c r="C31" s="97"/>
      <c r="D31" s="97"/>
      <c r="E31" s="97"/>
      <c r="F31" s="97"/>
    </row>
    <row r="32" spans="2:6" ht="14.25" customHeight="1">
      <c r="B32" s="97"/>
      <c r="C32" s="97"/>
      <c r="D32" s="97"/>
      <c r="E32" s="97"/>
      <c r="F32" s="9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J13" sqref="J13"/>
    </sheetView>
  </sheetViews>
  <sheetFormatPr defaultColWidth="14.42578125" defaultRowHeight="15" customHeight="1"/>
  <cols>
    <col min="1" max="1" width="8.7109375" customWidth="1"/>
    <col min="2" max="2" width="17.42578125" customWidth="1"/>
    <col min="3" max="3" width="24.140625" customWidth="1"/>
    <col min="4" max="4" width="8.85546875" customWidth="1"/>
    <col min="5" max="5" width="8.7109375" customWidth="1"/>
    <col min="6" max="6" width="17.42578125" customWidth="1"/>
    <col min="7" max="7" width="12.5703125" customWidth="1"/>
    <col min="8" max="8" width="10.42578125" customWidth="1"/>
    <col min="9" max="26" width="8.7109375" customWidth="1"/>
  </cols>
  <sheetData>
    <row r="1" spans="1:11" ht="14.25" customHeight="1">
      <c r="A1" s="104" t="s">
        <v>121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14.25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 ht="14.25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 ht="14.25" customHeight="1">
      <c r="A4" s="97"/>
      <c r="B4" s="105" t="s">
        <v>122</v>
      </c>
      <c r="C4" s="106"/>
      <c r="D4" s="107"/>
      <c r="E4" s="97"/>
      <c r="F4" s="7" t="s">
        <v>123</v>
      </c>
      <c r="G4" s="8" t="s">
        <v>124</v>
      </c>
      <c r="H4" s="10" t="s">
        <v>125</v>
      </c>
      <c r="I4" s="97"/>
      <c r="J4" s="97"/>
      <c r="K4" s="97"/>
    </row>
    <row r="5" spans="1:11" ht="14.25" customHeight="1">
      <c r="A5" s="97"/>
      <c r="B5" s="11" t="s">
        <v>123</v>
      </c>
      <c r="C5" s="12" t="s">
        <v>126</v>
      </c>
      <c r="D5" s="10" t="s">
        <v>127</v>
      </c>
      <c r="E5" s="97"/>
      <c r="F5" s="14" t="s">
        <v>128</v>
      </c>
      <c r="G5" s="20">
        <f ca="1">SUMIF(B6:D303,F5,D6:D303)</f>
        <v>50000</v>
      </c>
      <c r="H5" s="79">
        <f>COUNTIF(B6:D303,F5)</f>
        <v>1</v>
      </c>
      <c r="I5" s="97"/>
      <c r="J5" s="97"/>
      <c r="K5" s="97"/>
    </row>
    <row r="6" spans="1:11" ht="14.25" customHeight="1">
      <c r="A6" s="97"/>
      <c r="B6" s="14" t="s">
        <v>129</v>
      </c>
      <c r="C6" s="80" t="s">
        <v>130</v>
      </c>
      <c r="D6" s="21">
        <v>50000</v>
      </c>
      <c r="E6" s="97"/>
      <c r="F6" s="22" t="s">
        <v>131</v>
      </c>
      <c r="G6" s="20">
        <f t="shared" ref="G6:G23" ca="1" si="0">SUMIF(B7:D304,F6,D7:D304)</f>
        <v>500000</v>
      </c>
      <c r="H6" s="79">
        <f t="shared" ref="H6:H22" si="1">COUNTIF(B7:D304,F6)</f>
        <v>1</v>
      </c>
      <c r="I6" s="97"/>
      <c r="J6" s="97"/>
      <c r="K6" s="97"/>
    </row>
    <row r="7" spans="1:11" ht="14.25" customHeight="1">
      <c r="A7" s="97"/>
      <c r="B7" s="22" t="s">
        <v>129</v>
      </c>
      <c r="C7" s="18" t="s">
        <v>132</v>
      </c>
      <c r="D7" s="23">
        <v>195000</v>
      </c>
      <c r="E7" s="97"/>
      <c r="F7" s="22" t="s">
        <v>133</v>
      </c>
      <c r="G7" s="20">
        <f t="shared" ca="1" si="0"/>
        <v>9964844</v>
      </c>
      <c r="H7" s="79">
        <f t="shared" si="1"/>
        <v>18</v>
      </c>
      <c r="I7" s="97"/>
      <c r="J7" s="97"/>
      <c r="K7" s="97"/>
    </row>
    <row r="8" spans="1:11" ht="14.25" customHeight="1">
      <c r="A8" s="97"/>
      <c r="B8" s="22" t="s">
        <v>129</v>
      </c>
      <c r="C8" s="18" t="s">
        <v>134</v>
      </c>
      <c r="D8" s="23">
        <v>50000</v>
      </c>
      <c r="E8" s="97"/>
      <c r="F8" s="22" t="s">
        <v>135</v>
      </c>
      <c r="G8" s="20">
        <f t="shared" ca="1" si="0"/>
        <v>9825000</v>
      </c>
      <c r="H8" s="79">
        <f t="shared" si="1"/>
        <v>26</v>
      </c>
      <c r="I8" s="97"/>
      <c r="J8" s="97"/>
      <c r="K8" s="97"/>
    </row>
    <row r="9" spans="1:11" ht="14.25" customHeight="1">
      <c r="A9" s="97"/>
      <c r="B9" s="22" t="s">
        <v>136</v>
      </c>
      <c r="C9" s="18" t="s">
        <v>137</v>
      </c>
      <c r="D9" s="23">
        <v>1000000</v>
      </c>
      <c r="E9" s="97"/>
      <c r="F9" s="22" t="s">
        <v>138</v>
      </c>
      <c r="G9" s="20">
        <f t="shared" ca="1" si="0"/>
        <v>1300000</v>
      </c>
      <c r="H9" s="79">
        <f t="shared" si="1"/>
        <v>11</v>
      </c>
      <c r="I9" s="97"/>
      <c r="J9" s="97"/>
      <c r="K9" s="97"/>
    </row>
    <row r="10" spans="1:11" ht="14.25" customHeight="1">
      <c r="A10" s="97"/>
      <c r="B10" s="22" t="s">
        <v>128</v>
      </c>
      <c r="C10" s="18" t="s">
        <v>139</v>
      </c>
      <c r="D10" s="23">
        <v>50000</v>
      </c>
      <c r="E10" s="97"/>
      <c r="F10" s="22" t="s">
        <v>140</v>
      </c>
      <c r="G10" s="20">
        <f t="shared" ca="1" si="0"/>
        <v>440000</v>
      </c>
      <c r="H10" s="79">
        <f t="shared" si="1"/>
        <v>4</v>
      </c>
      <c r="I10" s="97"/>
      <c r="J10" s="97"/>
      <c r="K10" s="97"/>
    </row>
    <row r="11" spans="1:11" ht="14.25" customHeight="1">
      <c r="A11" s="97"/>
      <c r="B11" s="22" t="s">
        <v>141</v>
      </c>
      <c r="C11" s="18" t="s">
        <v>142</v>
      </c>
      <c r="D11" s="23">
        <v>100100</v>
      </c>
      <c r="E11" s="97"/>
      <c r="F11" s="22" t="s">
        <v>129</v>
      </c>
      <c r="G11" s="20">
        <f t="shared" ca="1" si="0"/>
        <v>25274300</v>
      </c>
      <c r="H11" s="79">
        <f t="shared" si="1"/>
        <v>38</v>
      </c>
      <c r="I11" s="97"/>
      <c r="J11" s="97"/>
      <c r="K11" s="97"/>
    </row>
    <row r="12" spans="1:11" ht="14.25" customHeight="1">
      <c r="A12" s="97"/>
      <c r="B12" s="22" t="s">
        <v>143</v>
      </c>
      <c r="C12" s="18" t="s">
        <v>144</v>
      </c>
      <c r="D12" s="23">
        <v>50000</v>
      </c>
      <c r="E12" s="97"/>
      <c r="F12" s="22" t="s">
        <v>145</v>
      </c>
      <c r="G12" s="20">
        <f t="shared" ca="1" si="0"/>
        <v>1220000</v>
      </c>
      <c r="H12" s="79">
        <f t="shared" si="1"/>
        <v>3</v>
      </c>
      <c r="I12" s="97"/>
      <c r="J12" s="97"/>
      <c r="K12" s="97"/>
    </row>
    <row r="13" spans="1:11" ht="14.25" customHeight="1">
      <c r="A13" s="97"/>
      <c r="B13" s="22" t="s">
        <v>141</v>
      </c>
      <c r="C13" s="18" t="s">
        <v>146</v>
      </c>
      <c r="D13" s="23">
        <v>450000</v>
      </c>
      <c r="E13" s="97"/>
      <c r="F13" s="22" t="s">
        <v>147</v>
      </c>
      <c r="G13" s="20">
        <f t="shared" ca="1" si="0"/>
        <v>20191282</v>
      </c>
      <c r="H13" s="79">
        <f t="shared" si="1"/>
        <v>15</v>
      </c>
      <c r="I13" s="97"/>
      <c r="J13" s="97"/>
      <c r="K13" s="97"/>
    </row>
    <row r="14" spans="1:11" ht="14.25" customHeight="1">
      <c r="A14" s="97"/>
      <c r="B14" s="22" t="s">
        <v>143</v>
      </c>
      <c r="C14" s="18" t="s">
        <v>144</v>
      </c>
      <c r="D14" s="23">
        <v>20000000</v>
      </c>
      <c r="E14" s="97"/>
      <c r="F14" s="22" t="s">
        <v>148</v>
      </c>
      <c r="G14" s="20">
        <f t="shared" ca="1" si="0"/>
        <v>6000</v>
      </c>
      <c r="H14" s="79">
        <f t="shared" si="1"/>
        <v>1</v>
      </c>
      <c r="I14" s="97"/>
      <c r="J14" s="97"/>
      <c r="K14" s="97"/>
    </row>
    <row r="15" spans="1:11" ht="14.25" customHeight="1">
      <c r="A15" s="97"/>
      <c r="B15" s="22" t="s">
        <v>143</v>
      </c>
      <c r="C15" s="18" t="s">
        <v>144</v>
      </c>
      <c r="D15" s="23">
        <v>10300</v>
      </c>
      <c r="E15" s="97"/>
      <c r="F15" s="22" t="s">
        <v>141</v>
      </c>
      <c r="G15" s="20">
        <f t="shared" ca="1" si="0"/>
        <v>65000</v>
      </c>
      <c r="H15" s="79">
        <f t="shared" si="1"/>
        <v>4</v>
      </c>
      <c r="I15" s="97"/>
      <c r="J15" s="97"/>
      <c r="K15" s="97"/>
    </row>
    <row r="16" spans="1:11" ht="14.25" customHeight="1">
      <c r="A16" s="97"/>
      <c r="B16" s="22" t="s">
        <v>143</v>
      </c>
      <c r="C16" s="18" t="s">
        <v>149</v>
      </c>
      <c r="D16" s="23">
        <v>225000</v>
      </c>
      <c r="E16" s="97"/>
      <c r="F16" s="22" t="s">
        <v>150</v>
      </c>
      <c r="G16" s="20">
        <f t="shared" ca="1" si="0"/>
        <v>350000</v>
      </c>
      <c r="H16" s="79">
        <f t="shared" si="1"/>
        <v>2</v>
      </c>
      <c r="I16" s="97"/>
      <c r="J16" s="97"/>
      <c r="K16" s="97"/>
    </row>
    <row r="17" spans="2:8" ht="14.25" customHeight="1">
      <c r="B17" s="22" t="s">
        <v>141</v>
      </c>
      <c r="C17" s="18" t="s">
        <v>151</v>
      </c>
      <c r="D17" s="23">
        <v>25000</v>
      </c>
      <c r="E17" s="97"/>
      <c r="F17" s="22" t="s">
        <v>152</v>
      </c>
      <c r="G17" s="20">
        <f t="shared" ca="1" si="0"/>
        <v>2050000</v>
      </c>
      <c r="H17" s="79">
        <f t="shared" si="1"/>
        <v>13</v>
      </c>
    </row>
    <row r="18" spans="2:8" ht="14.25" customHeight="1">
      <c r="B18" s="22" t="s">
        <v>143</v>
      </c>
      <c r="C18" s="18" t="s">
        <v>149</v>
      </c>
      <c r="D18" s="23">
        <v>60000</v>
      </c>
      <c r="E18" s="97"/>
      <c r="F18" s="22" t="s">
        <v>153</v>
      </c>
      <c r="G18" s="20">
        <f t="shared" ca="1" si="0"/>
        <v>12863000</v>
      </c>
      <c r="H18" s="79">
        <f t="shared" si="1"/>
        <v>20</v>
      </c>
    </row>
    <row r="19" spans="2:8" ht="14.25" customHeight="1">
      <c r="B19" s="22" t="s">
        <v>143</v>
      </c>
      <c r="C19" s="18" t="s">
        <v>154</v>
      </c>
      <c r="D19" s="23">
        <v>50000</v>
      </c>
      <c r="E19" s="97"/>
      <c r="F19" s="22" t="s">
        <v>155</v>
      </c>
      <c r="G19" s="20">
        <f t="shared" ca="1" si="0"/>
        <v>25000</v>
      </c>
      <c r="H19" s="79">
        <f t="shared" si="1"/>
        <v>1</v>
      </c>
    </row>
    <row r="20" spans="2:8" ht="14.25" customHeight="1">
      <c r="B20" s="22" t="s">
        <v>153</v>
      </c>
      <c r="C20" s="18" t="s">
        <v>156</v>
      </c>
      <c r="D20" s="23">
        <v>10000</v>
      </c>
      <c r="E20" s="97"/>
      <c r="F20" s="22" t="s">
        <v>136</v>
      </c>
      <c r="G20" s="20">
        <f t="shared" ca="1" si="0"/>
        <v>26798033</v>
      </c>
      <c r="H20" s="79">
        <f t="shared" si="1"/>
        <v>41</v>
      </c>
    </row>
    <row r="21" spans="2:8" ht="14.25" customHeight="1">
      <c r="B21" s="22" t="s">
        <v>153</v>
      </c>
      <c r="C21" s="18" t="s">
        <v>157</v>
      </c>
      <c r="D21" s="23">
        <v>800000</v>
      </c>
      <c r="E21" s="97"/>
      <c r="F21" s="22" t="s">
        <v>143</v>
      </c>
      <c r="G21" s="20">
        <f t="shared" ca="1" si="0"/>
        <v>58368223</v>
      </c>
      <c r="H21" s="79">
        <f t="shared" si="1"/>
        <v>98</v>
      </c>
    </row>
    <row r="22" spans="2:8" ht="14.25" customHeight="1">
      <c r="B22" s="22" t="s">
        <v>141</v>
      </c>
      <c r="C22" s="18" t="s">
        <v>151</v>
      </c>
      <c r="D22" s="23">
        <v>25000</v>
      </c>
      <c r="E22" s="97"/>
      <c r="F22" s="26" t="s">
        <v>158</v>
      </c>
      <c r="G22" s="20">
        <f t="shared" ca="1" si="0"/>
        <v>6412789</v>
      </c>
      <c r="H22" s="79">
        <f t="shared" si="1"/>
        <v>16</v>
      </c>
    </row>
    <row r="23" spans="2:8" ht="14.25" customHeight="1">
      <c r="B23" s="22" t="s">
        <v>150</v>
      </c>
      <c r="C23" s="18" t="s">
        <v>159</v>
      </c>
      <c r="D23" s="23">
        <v>50000</v>
      </c>
      <c r="E23" s="97"/>
      <c r="F23" s="27" t="s">
        <v>78</v>
      </c>
      <c r="G23" s="20">
        <f ca="1">SUM(G5:G22)</f>
        <v>175703471</v>
      </c>
      <c r="H23" s="28"/>
    </row>
    <row r="24" spans="2:8" ht="14.25" customHeight="1">
      <c r="B24" s="22" t="s">
        <v>141</v>
      </c>
      <c r="C24" s="18" t="s">
        <v>142</v>
      </c>
      <c r="D24" s="23">
        <v>5000</v>
      </c>
      <c r="E24" s="97"/>
      <c r="F24" s="97"/>
      <c r="G24" s="97"/>
      <c r="H24" s="97"/>
    </row>
    <row r="25" spans="2:8" ht="14.25" customHeight="1">
      <c r="B25" s="22" t="s">
        <v>148</v>
      </c>
      <c r="C25" s="18" t="s">
        <v>160</v>
      </c>
      <c r="D25" s="23">
        <v>6000</v>
      </c>
      <c r="E25" s="97"/>
      <c r="F25" s="97"/>
      <c r="G25" s="97"/>
      <c r="H25" s="97"/>
    </row>
    <row r="26" spans="2:8" ht="14.25" customHeight="1">
      <c r="B26" s="22" t="s">
        <v>143</v>
      </c>
      <c r="C26" s="18" t="s">
        <v>144</v>
      </c>
      <c r="D26" s="23">
        <v>6000</v>
      </c>
      <c r="E26" s="97"/>
      <c r="F26" s="97"/>
      <c r="G26" s="97"/>
      <c r="H26" s="97"/>
    </row>
    <row r="27" spans="2:8" ht="14.25" customHeight="1">
      <c r="B27" s="22" t="s">
        <v>131</v>
      </c>
      <c r="C27" s="18" t="s">
        <v>161</v>
      </c>
      <c r="D27" s="23">
        <v>500000</v>
      </c>
      <c r="E27" s="97"/>
      <c r="F27" s="97"/>
      <c r="G27" s="97"/>
      <c r="H27" s="97"/>
    </row>
    <row r="28" spans="2:8" ht="14.25" customHeight="1">
      <c r="B28" s="22" t="s">
        <v>141</v>
      </c>
      <c r="C28" s="18" t="s">
        <v>151</v>
      </c>
      <c r="D28" s="23">
        <v>10000</v>
      </c>
      <c r="E28" s="97"/>
      <c r="F28" s="97"/>
      <c r="G28" s="97"/>
      <c r="H28" s="97"/>
    </row>
    <row r="29" spans="2:8" ht="14.25" customHeight="1">
      <c r="B29" s="22" t="s">
        <v>143</v>
      </c>
      <c r="C29" s="18" t="s">
        <v>154</v>
      </c>
      <c r="D29" s="23">
        <v>60000</v>
      </c>
      <c r="E29" s="97"/>
      <c r="F29" s="97"/>
      <c r="G29" s="97"/>
      <c r="H29" s="97"/>
    </row>
    <row r="30" spans="2:8" ht="14.25" customHeight="1">
      <c r="B30" s="22" t="s">
        <v>129</v>
      </c>
      <c r="C30" s="18" t="s">
        <v>130</v>
      </c>
      <c r="D30" s="23">
        <v>100000</v>
      </c>
      <c r="E30" s="97"/>
      <c r="F30" s="97"/>
      <c r="G30" s="97"/>
      <c r="H30" s="97"/>
    </row>
    <row r="31" spans="2:8" ht="14.25" customHeight="1">
      <c r="B31" s="22" t="s">
        <v>143</v>
      </c>
      <c r="C31" s="18" t="s">
        <v>162</v>
      </c>
      <c r="D31" s="23">
        <v>400000</v>
      </c>
      <c r="E31" s="97"/>
      <c r="F31" s="97"/>
      <c r="G31" s="97"/>
      <c r="H31" s="97"/>
    </row>
    <row r="32" spans="2:8" ht="14.25" customHeight="1">
      <c r="B32" s="22" t="s">
        <v>143</v>
      </c>
      <c r="C32" s="18" t="s">
        <v>163</v>
      </c>
      <c r="D32" s="23">
        <v>195000</v>
      </c>
      <c r="E32" s="97"/>
      <c r="F32" s="97"/>
      <c r="G32" s="97"/>
      <c r="H32" s="97"/>
    </row>
    <row r="33" spans="2:4" ht="14.25" customHeight="1">
      <c r="B33" s="22" t="s">
        <v>138</v>
      </c>
      <c r="C33" s="18" t="s">
        <v>164</v>
      </c>
      <c r="D33" s="23">
        <v>400000</v>
      </c>
    </row>
    <row r="34" spans="2:4" ht="14.25" customHeight="1">
      <c r="B34" s="22" t="s">
        <v>143</v>
      </c>
      <c r="C34" s="18" t="s">
        <v>149</v>
      </c>
      <c r="D34" s="23">
        <v>250000</v>
      </c>
    </row>
    <row r="35" spans="2:4" ht="14.25" customHeight="1">
      <c r="B35" s="22" t="s">
        <v>129</v>
      </c>
      <c r="C35" s="18" t="s">
        <v>130</v>
      </c>
      <c r="D35" s="23">
        <v>220000</v>
      </c>
    </row>
    <row r="36" spans="2:4" ht="14.25" customHeight="1">
      <c r="B36" s="22" t="s">
        <v>136</v>
      </c>
      <c r="C36" s="18" t="s">
        <v>137</v>
      </c>
      <c r="D36" s="23">
        <v>5000</v>
      </c>
    </row>
    <row r="37" spans="2:4" ht="14.25" customHeight="1">
      <c r="B37" s="22" t="s">
        <v>135</v>
      </c>
      <c r="C37" s="18" t="s">
        <v>165</v>
      </c>
      <c r="D37" s="23">
        <v>50000</v>
      </c>
    </row>
    <row r="38" spans="2:4" ht="14.25" customHeight="1">
      <c r="B38" s="22" t="s">
        <v>143</v>
      </c>
      <c r="C38" s="18" t="s">
        <v>149</v>
      </c>
      <c r="D38" s="23">
        <v>50000</v>
      </c>
    </row>
    <row r="39" spans="2:4" ht="14.25" customHeight="1">
      <c r="B39" s="22" t="s">
        <v>143</v>
      </c>
      <c r="C39" s="18" t="s">
        <v>144</v>
      </c>
      <c r="D39" s="23">
        <v>5000</v>
      </c>
    </row>
    <row r="40" spans="2:4" ht="14.25" customHeight="1">
      <c r="B40" s="22" t="s">
        <v>143</v>
      </c>
      <c r="C40" s="18" t="s">
        <v>149</v>
      </c>
      <c r="D40" s="23">
        <v>200000</v>
      </c>
    </row>
    <row r="41" spans="2:4" ht="14.25" customHeight="1">
      <c r="B41" s="22" t="s">
        <v>136</v>
      </c>
      <c r="C41" s="18" t="s">
        <v>137</v>
      </c>
      <c r="D41" s="23">
        <v>200000</v>
      </c>
    </row>
    <row r="42" spans="2:4" ht="14.25" customHeight="1">
      <c r="B42" s="22" t="s">
        <v>135</v>
      </c>
      <c r="C42" s="18" t="s">
        <v>160</v>
      </c>
      <c r="D42" s="23">
        <v>20000</v>
      </c>
    </row>
    <row r="43" spans="2:4" ht="14.25" customHeight="1">
      <c r="B43" s="22" t="s">
        <v>135</v>
      </c>
      <c r="C43" s="18" t="s">
        <v>165</v>
      </c>
      <c r="D43" s="23">
        <v>2000000</v>
      </c>
    </row>
    <row r="44" spans="2:4" ht="14.25" customHeight="1">
      <c r="B44" s="22" t="s">
        <v>129</v>
      </c>
      <c r="C44" s="18" t="s">
        <v>164</v>
      </c>
      <c r="D44" s="23">
        <v>2000000</v>
      </c>
    </row>
    <row r="45" spans="2:4" ht="14.25" customHeight="1">
      <c r="B45" s="22" t="s">
        <v>138</v>
      </c>
      <c r="C45" s="18" t="s">
        <v>166</v>
      </c>
      <c r="D45" s="23">
        <v>500000</v>
      </c>
    </row>
    <row r="46" spans="2:4" ht="14.25" customHeight="1">
      <c r="B46" s="22" t="s">
        <v>135</v>
      </c>
      <c r="C46" s="18" t="s">
        <v>160</v>
      </c>
      <c r="D46" s="23">
        <v>50000</v>
      </c>
    </row>
    <row r="47" spans="2:4" ht="14.25" customHeight="1">
      <c r="B47" s="22" t="s">
        <v>135</v>
      </c>
      <c r="C47" s="18" t="s">
        <v>165</v>
      </c>
      <c r="D47" s="23">
        <v>1500000</v>
      </c>
    </row>
    <row r="48" spans="2:4" ht="14.25" customHeight="1">
      <c r="B48" s="22" t="s">
        <v>129</v>
      </c>
      <c r="C48" s="18" t="s">
        <v>164</v>
      </c>
      <c r="D48" s="23">
        <v>500000</v>
      </c>
    </row>
    <row r="49" spans="2:4" ht="14.25" customHeight="1">
      <c r="B49" s="22" t="s">
        <v>129</v>
      </c>
      <c r="C49" s="18" t="s">
        <v>130</v>
      </c>
      <c r="D49" s="23">
        <v>100000</v>
      </c>
    </row>
    <row r="50" spans="2:4" ht="14.25" customHeight="1">
      <c r="B50" s="22" t="s">
        <v>129</v>
      </c>
      <c r="C50" s="18" t="s">
        <v>130</v>
      </c>
      <c r="D50" s="23">
        <v>50000</v>
      </c>
    </row>
    <row r="51" spans="2:4" ht="14.25" customHeight="1">
      <c r="B51" s="22" t="s">
        <v>136</v>
      </c>
      <c r="C51" s="18" t="s">
        <v>167</v>
      </c>
      <c r="D51" s="23">
        <v>50000</v>
      </c>
    </row>
    <row r="52" spans="2:4" ht="14.25" customHeight="1">
      <c r="B52" s="22" t="s">
        <v>135</v>
      </c>
      <c r="C52" s="18" t="s">
        <v>160</v>
      </c>
      <c r="D52" s="23">
        <v>50000</v>
      </c>
    </row>
    <row r="53" spans="2:4" ht="14.25" customHeight="1">
      <c r="B53" s="22" t="s">
        <v>136</v>
      </c>
      <c r="C53" s="18" t="s">
        <v>137</v>
      </c>
      <c r="D53" s="23">
        <v>300000</v>
      </c>
    </row>
    <row r="54" spans="2:4" ht="14.25" customHeight="1">
      <c r="B54" s="22" t="s">
        <v>143</v>
      </c>
      <c r="C54" s="18" t="s">
        <v>144</v>
      </c>
      <c r="D54" s="23">
        <v>100000</v>
      </c>
    </row>
    <row r="55" spans="2:4" ht="14.25" customHeight="1">
      <c r="B55" s="22" t="s">
        <v>158</v>
      </c>
      <c r="C55" s="18" t="s">
        <v>157</v>
      </c>
      <c r="D55" s="23">
        <v>50000</v>
      </c>
    </row>
    <row r="56" spans="2:4" ht="14.25" customHeight="1">
      <c r="B56" s="22" t="s">
        <v>143</v>
      </c>
      <c r="C56" s="18" t="s">
        <v>144</v>
      </c>
      <c r="D56" s="23">
        <v>100000</v>
      </c>
    </row>
    <row r="57" spans="2:4" ht="14.25" customHeight="1">
      <c r="B57" s="22" t="s">
        <v>136</v>
      </c>
      <c r="C57" s="18" t="s">
        <v>137</v>
      </c>
      <c r="D57" s="23">
        <v>50000</v>
      </c>
    </row>
    <row r="58" spans="2:4" ht="14.25" customHeight="1">
      <c r="B58" s="22" t="s">
        <v>143</v>
      </c>
      <c r="C58" s="18" t="s">
        <v>144</v>
      </c>
      <c r="D58" s="23">
        <v>100000</v>
      </c>
    </row>
    <row r="59" spans="2:4" ht="14.25" customHeight="1">
      <c r="B59" s="22" t="s">
        <v>129</v>
      </c>
      <c r="C59" s="18" t="s">
        <v>130</v>
      </c>
      <c r="D59" s="23">
        <v>1000000</v>
      </c>
    </row>
    <row r="60" spans="2:4" ht="14.25" customHeight="1">
      <c r="B60" s="22" t="s">
        <v>158</v>
      </c>
      <c r="C60" s="18" t="s">
        <v>168</v>
      </c>
      <c r="D60" s="23">
        <v>100000</v>
      </c>
    </row>
    <row r="61" spans="2:4" ht="14.25" customHeight="1">
      <c r="B61" s="22" t="s">
        <v>143</v>
      </c>
      <c r="C61" s="18" t="s">
        <v>144</v>
      </c>
      <c r="D61" s="23">
        <v>25000</v>
      </c>
    </row>
    <row r="62" spans="2:4" ht="14.25" customHeight="1">
      <c r="B62" s="22" t="s">
        <v>129</v>
      </c>
      <c r="C62" s="18" t="s">
        <v>169</v>
      </c>
      <c r="D62" s="23">
        <v>600000</v>
      </c>
    </row>
    <row r="63" spans="2:4" ht="14.25" customHeight="1">
      <c r="B63" s="22" t="s">
        <v>129</v>
      </c>
      <c r="C63" s="18" t="s">
        <v>170</v>
      </c>
      <c r="D63" s="23">
        <v>1800000</v>
      </c>
    </row>
    <row r="64" spans="2:4" ht="14.25" customHeight="1">
      <c r="B64" s="22" t="s">
        <v>129</v>
      </c>
      <c r="C64" s="18" t="s">
        <v>170</v>
      </c>
      <c r="D64" s="23">
        <v>100000</v>
      </c>
    </row>
    <row r="65" spans="2:4" ht="14.25" customHeight="1">
      <c r="B65" s="22" t="s">
        <v>155</v>
      </c>
      <c r="C65" s="18" t="s">
        <v>171</v>
      </c>
      <c r="D65" s="23">
        <v>25000</v>
      </c>
    </row>
    <row r="66" spans="2:4" ht="14.25" customHeight="1">
      <c r="B66" s="22" t="s">
        <v>129</v>
      </c>
      <c r="C66" s="18" t="s">
        <v>169</v>
      </c>
      <c r="D66" s="23">
        <v>50000</v>
      </c>
    </row>
    <row r="67" spans="2:4" ht="14.25" customHeight="1">
      <c r="B67" s="22" t="s">
        <v>129</v>
      </c>
      <c r="C67" s="18" t="s">
        <v>146</v>
      </c>
      <c r="D67" s="23">
        <v>300000</v>
      </c>
    </row>
    <row r="68" spans="2:4" ht="14.25" customHeight="1">
      <c r="B68" s="22" t="s">
        <v>133</v>
      </c>
      <c r="C68" s="18" t="s">
        <v>152</v>
      </c>
      <c r="D68" s="23">
        <v>185000</v>
      </c>
    </row>
    <row r="69" spans="2:4" ht="14.25" customHeight="1">
      <c r="B69" s="22" t="s">
        <v>147</v>
      </c>
      <c r="C69" s="18" t="s">
        <v>135</v>
      </c>
      <c r="D69" s="23">
        <v>2500000</v>
      </c>
    </row>
    <row r="70" spans="2:4" ht="14.25" customHeight="1">
      <c r="B70" s="22" t="s">
        <v>133</v>
      </c>
      <c r="C70" s="18" t="s">
        <v>152</v>
      </c>
      <c r="D70" s="23">
        <v>500000</v>
      </c>
    </row>
    <row r="71" spans="2:4" ht="14.25" customHeight="1">
      <c r="B71" s="22" t="s">
        <v>152</v>
      </c>
      <c r="C71" s="18" t="s">
        <v>172</v>
      </c>
      <c r="D71" s="23">
        <v>15000</v>
      </c>
    </row>
    <row r="72" spans="2:4" ht="14.25" customHeight="1">
      <c r="B72" s="22" t="s">
        <v>136</v>
      </c>
      <c r="C72" s="18" t="s">
        <v>137</v>
      </c>
      <c r="D72" s="23">
        <v>50000</v>
      </c>
    </row>
    <row r="73" spans="2:4" ht="14.25" customHeight="1">
      <c r="B73" s="22" t="s">
        <v>133</v>
      </c>
      <c r="C73" s="18" t="s">
        <v>152</v>
      </c>
      <c r="D73" s="23">
        <v>50000</v>
      </c>
    </row>
    <row r="74" spans="2:4" ht="14.25" customHeight="1">
      <c r="B74" s="22" t="s">
        <v>133</v>
      </c>
      <c r="C74" s="18" t="s">
        <v>152</v>
      </c>
      <c r="D74" s="23">
        <v>100000</v>
      </c>
    </row>
    <row r="75" spans="2:4" ht="14.25" customHeight="1">
      <c r="B75" s="22" t="s">
        <v>133</v>
      </c>
      <c r="C75" s="18" t="s">
        <v>152</v>
      </c>
      <c r="D75" s="23">
        <v>45000</v>
      </c>
    </row>
    <row r="76" spans="2:4" ht="14.25" customHeight="1">
      <c r="B76" s="22" t="s">
        <v>147</v>
      </c>
      <c r="C76" s="18" t="s">
        <v>138</v>
      </c>
      <c r="D76" s="23">
        <v>47282</v>
      </c>
    </row>
    <row r="77" spans="2:4" ht="14.25" customHeight="1">
      <c r="B77" s="22" t="s">
        <v>136</v>
      </c>
      <c r="C77" s="18" t="s">
        <v>137</v>
      </c>
      <c r="D77" s="23">
        <v>34033</v>
      </c>
    </row>
    <row r="78" spans="2:4" ht="14.25" customHeight="1">
      <c r="B78" s="22" t="s">
        <v>136</v>
      </c>
      <c r="C78" s="18" t="s">
        <v>137</v>
      </c>
      <c r="D78" s="23">
        <v>1000000</v>
      </c>
    </row>
    <row r="79" spans="2:4" ht="14.25" customHeight="1">
      <c r="B79" s="22" t="s">
        <v>135</v>
      </c>
      <c r="C79" s="18" t="s">
        <v>165</v>
      </c>
      <c r="D79" s="23">
        <v>1000000</v>
      </c>
    </row>
    <row r="80" spans="2:4" ht="14.25" customHeight="1">
      <c r="B80" s="22" t="s">
        <v>136</v>
      </c>
      <c r="C80" s="18" t="s">
        <v>137</v>
      </c>
      <c r="D80" s="23">
        <v>4000000</v>
      </c>
    </row>
    <row r="81" spans="2:4" ht="14.25" customHeight="1">
      <c r="B81" s="22" t="s">
        <v>147</v>
      </c>
      <c r="C81" s="18" t="s">
        <v>135</v>
      </c>
      <c r="D81" s="23">
        <v>27000</v>
      </c>
    </row>
    <row r="82" spans="2:4" ht="14.25" customHeight="1">
      <c r="B82" s="22" t="s">
        <v>129</v>
      </c>
      <c r="C82" s="18" t="s">
        <v>134</v>
      </c>
      <c r="D82" s="23">
        <v>50000</v>
      </c>
    </row>
    <row r="83" spans="2:4" ht="14.25" customHeight="1">
      <c r="B83" s="22" t="s">
        <v>147</v>
      </c>
      <c r="C83" s="18" t="s">
        <v>135</v>
      </c>
      <c r="D83" s="23">
        <v>50000</v>
      </c>
    </row>
    <row r="84" spans="2:4" ht="14.25" customHeight="1">
      <c r="B84" s="22" t="s">
        <v>147</v>
      </c>
      <c r="C84" s="18" t="s">
        <v>135</v>
      </c>
      <c r="D84" s="23">
        <v>1000000</v>
      </c>
    </row>
    <row r="85" spans="2:4" ht="14.25" customHeight="1">
      <c r="B85" s="22" t="s">
        <v>133</v>
      </c>
      <c r="C85" s="18" t="s">
        <v>173</v>
      </c>
      <c r="D85" s="23">
        <v>500000</v>
      </c>
    </row>
    <row r="86" spans="2:4" ht="14.25" customHeight="1">
      <c r="B86" s="22" t="s">
        <v>133</v>
      </c>
      <c r="C86" s="18" t="s">
        <v>174</v>
      </c>
      <c r="D86" s="23">
        <v>850000</v>
      </c>
    </row>
    <row r="87" spans="2:4" ht="14.25" customHeight="1">
      <c r="B87" s="22" t="s">
        <v>147</v>
      </c>
      <c r="C87" s="18" t="s">
        <v>135</v>
      </c>
      <c r="D87" s="23">
        <v>297000</v>
      </c>
    </row>
    <row r="88" spans="2:4" ht="14.25" customHeight="1">
      <c r="B88" s="22" t="s">
        <v>133</v>
      </c>
      <c r="C88" s="18" t="s">
        <v>152</v>
      </c>
      <c r="D88" s="23">
        <v>50000</v>
      </c>
    </row>
    <row r="89" spans="2:4" ht="14.25" customHeight="1">
      <c r="B89" s="22" t="s">
        <v>152</v>
      </c>
      <c r="C89" s="18" t="s">
        <v>175</v>
      </c>
      <c r="D89" s="23">
        <v>1000000</v>
      </c>
    </row>
    <row r="90" spans="2:4" ht="14.25" customHeight="1">
      <c r="B90" s="22" t="s">
        <v>129</v>
      </c>
      <c r="C90" s="18" t="s">
        <v>146</v>
      </c>
      <c r="D90" s="23">
        <v>25000</v>
      </c>
    </row>
    <row r="91" spans="2:4" ht="14.25" customHeight="1">
      <c r="B91" s="22" t="s">
        <v>129</v>
      </c>
      <c r="C91" s="18" t="s">
        <v>146</v>
      </c>
      <c r="D91" s="23">
        <v>25000</v>
      </c>
    </row>
    <row r="92" spans="2:4" ht="14.25" customHeight="1">
      <c r="B92" s="22" t="s">
        <v>152</v>
      </c>
      <c r="C92" s="18" t="s">
        <v>135</v>
      </c>
      <c r="D92" s="23">
        <v>100000</v>
      </c>
    </row>
    <row r="93" spans="2:4" ht="14.25" customHeight="1">
      <c r="B93" s="22" t="s">
        <v>147</v>
      </c>
      <c r="C93" s="18" t="s">
        <v>135</v>
      </c>
      <c r="D93" s="23">
        <v>260000</v>
      </c>
    </row>
    <row r="94" spans="2:4" ht="14.25" customHeight="1">
      <c r="B94" s="22" t="s">
        <v>147</v>
      </c>
      <c r="C94" s="18" t="s">
        <v>135</v>
      </c>
      <c r="D94" s="23">
        <v>500000</v>
      </c>
    </row>
    <row r="95" spans="2:4" ht="14.25" customHeight="1">
      <c r="B95" s="22" t="s">
        <v>147</v>
      </c>
      <c r="C95" s="18" t="s">
        <v>135</v>
      </c>
      <c r="D95" s="23">
        <v>300000</v>
      </c>
    </row>
    <row r="96" spans="2:4" ht="14.25" customHeight="1">
      <c r="B96" s="22" t="s">
        <v>136</v>
      </c>
      <c r="C96" s="18" t="s">
        <v>176</v>
      </c>
      <c r="D96" s="23">
        <v>150000</v>
      </c>
    </row>
    <row r="97" spans="2:4" ht="14.25" customHeight="1">
      <c r="B97" s="22" t="s">
        <v>133</v>
      </c>
      <c r="C97" s="18" t="s">
        <v>174</v>
      </c>
      <c r="D97" s="23">
        <v>5000000</v>
      </c>
    </row>
    <row r="98" spans="2:4" ht="14.25" customHeight="1">
      <c r="B98" s="22" t="s">
        <v>129</v>
      </c>
      <c r="C98" s="18" t="s">
        <v>146</v>
      </c>
      <c r="D98" s="23">
        <v>15000000</v>
      </c>
    </row>
    <row r="99" spans="2:4" ht="14.25" customHeight="1">
      <c r="B99" s="22" t="s">
        <v>147</v>
      </c>
      <c r="C99" s="18" t="s">
        <v>135</v>
      </c>
      <c r="D99" s="23">
        <v>7500000</v>
      </c>
    </row>
    <row r="100" spans="2:4" ht="14.25" customHeight="1">
      <c r="B100" s="22" t="s">
        <v>136</v>
      </c>
      <c r="C100" s="18" t="s">
        <v>137</v>
      </c>
      <c r="D100" s="23">
        <v>1000000</v>
      </c>
    </row>
    <row r="101" spans="2:4" ht="14.25" customHeight="1">
      <c r="B101" s="22" t="s">
        <v>143</v>
      </c>
      <c r="C101" s="18" t="s">
        <v>177</v>
      </c>
      <c r="D101" s="23">
        <v>55000</v>
      </c>
    </row>
    <row r="102" spans="2:4" ht="14.25" customHeight="1">
      <c r="B102" s="22" t="s">
        <v>136</v>
      </c>
      <c r="C102" s="18" t="s">
        <v>137</v>
      </c>
      <c r="D102" s="23">
        <v>300000</v>
      </c>
    </row>
    <row r="103" spans="2:4" ht="14.25" customHeight="1">
      <c r="B103" s="22" t="s">
        <v>147</v>
      </c>
      <c r="C103" s="18" t="s">
        <v>135</v>
      </c>
      <c r="D103" s="23">
        <v>175000</v>
      </c>
    </row>
    <row r="104" spans="2:4" ht="14.25" customHeight="1">
      <c r="B104" s="22" t="s">
        <v>129</v>
      </c>
      <c r="C104" s="18" t="s">
        <v>134</v>
      </c>
      <c r="D104" s="23">
        <v>100000</v>
      </c>
    </row>
    <row r="105" spans="2:4" ht="14.25" customHeight="1">
      <c r="B105" s="22" t="s">
        <v>138</v>
      </c>
      <c r="C105" s="18" t="s">
        <v>178</v>
      </c>
      <c r="D105" s="23">
        <v>400000</v>
      </c>
    </row>
    <row r="106" spans="2:4" ht="14.25" customHeight="1">
      <c r="B106" s="22" t="s">
        <v>129</v>
      </c>
      <c r="C106" s="18" t="s">
        <v>146</v>
      </c>
      <c r="D106" s="23">
        <v>50000</v>
      </c>
    </row>
    <row r="107" spans="2:4" ht="14.25" customHeight="1">
      <c r="B107" s="22" t="s">
        <v>152</v>
      </c>
      <c r="C107" s="18" t="s">
        <v>138</v>
      </c>
      <c r="D107" s="23">
        <v>100000</v>
      </c>
    </row>
    <row r="108" spans="2:4" ht="14.25" customHeight="1">
      <c r="B108" s="22" t="s">
        <v>129</v>
      </c>
      <c r="C108" s="18" t="s">
        <v>134</v>
      </c>
      <c r="D108" s="23">
        <v>50000</v>
      </c>
    </row>
    <row r="109" spans="2:4" ht="14.25" customHeight="1">
      <c r="B109" s="22" t="s">
        <v>147</v>
      </c>
      <c r="C109" s="18" t="s">
        <v>135</v>
      </c>
      <c r="D109" s="23">
        <v>25000</v>
      </c>
    </row>
    <row r="110" spans="2:4" ht="14.25" customHeight="1">
      <c r="B110" s="22" t="s">
        <v>129</v>
      </c>
      <c r="C110" s="18" t="s">
        <v>130</v>
      </c>
      <c r="D110" s="23">
        <v>100000</v>
      </c>
    </row>
    <row r="111" spans="2:4" ht="14.25" customHeight="1">
      <c r="B111" s="22" t="s">
        <v>147</v>
      </c>
      <c r="C111" s="18" t="s">
        <v>135</v>
      </c>
      <c r="D111" s="23">
        <v>10000</v>
      </c>
    </row>
    <row r="112" spans="2:4" ht="14.25" customHeight="1">
      <c r="B112" s="22" t="s">
        <v>152</v>
      </c>
      <c r="C112" s="18" t="s">
        <v>172</v>
      </c>
      <c r="D112" s="23">
        <v>35000</v>
      </c>
    </row>
    <row r="113" spans="2:4" ht="14.25" customHeight="1">
      <c r="B113" s="22" t="s">
        <v>129</v>
      </c>
      <c r="C113" s="18" t="s">
        <v>134</v>
      </c>
      <c r="D113" s="23">
        <v>50000</v>
      </c>
    </row>
    <row r="114" spans="2:4" ht="14.25" customHeight="1">
      <c r="B114" s="22" t="s">
        <v>133</v>
      </c>
      <c r="C114" s="18" t="s">
        <v>173</v>
      </c>
      <c r="D114" s="23">
        <v>150000</v>
      </c>
    </row>
    <row r="115" spans="2:4" ht="14.25" customHeight="1">
      <c r="B115" s="22" t="s">
        <v>129</v>
      </c>
      <c r="C115" s="18" t="s">
        <v>132</v>
      </c>
      <c r="D115" s="23">
        <v>50000</v>
      </c>
    </row>
    <row r="116" spans="2:4" ht="14.25" customHeight="1">
      <c r="B116" s="22" t="s">
        <v>152</v>
      </c>
      <c r="C116" s="18" t="s">
        <v>138</v>
      </c>
      <c r="D116" s="23">
        <v>300000</v>
      </c>
    </row>
    <row r="117" spans="2:4" ht="14.25" customHeight="1">
      <c r="B117" s="22" t="s">
        <v>129</v>
      </c>
      <c r="C117" s="18" t="s">
        <v>179</v>
      </c>
      <c r="D117" s="23">
        <v>200000</v>
      </c>
    </row>
    <row r="118" spans="2:4" ht="14.25" customHeight="1">
      <c r="B118" s="22" t="s">
        <v>136</v>
      </c>
      <c r="C118" s="18" t="s">
        <v>180</v>
      </c>
      <c r="D118" s="23">
        <v>190000</v>
      </c>
    </row>
    <row r="119" spans="2:4" ht="14.25" customHeight="1">
      <c r="B119" s="22" t="s">
        <v>133</v>
      </c>
      <c r="C119" s="18" t="s">
        <v>181</v>
      </c>
      <c r="D119" s="23">
        <v>5500</v>
      </c>
    </row>
    <row r="120" spans="2:4" ht="14.25" customHeight="1">
      <c r="B120" s="22" t="s">
        <v>129</v>
      </c>
      <c r="C120" s="18" t="s">
        <v>146</v>
      </c>
      <c r="D120" s="23">
        <v>200000</v>
      </c>
    </row>
    <row r="121" spans="2:4" ht="14.25" customHeight="1">
      <c r="B121" s="22" t="s">
        <v>136</v>
      </c>
      <c r="C121" s="18" t="s">
        <v>138</v>
      </c>
      <c r="D121" s="23">
        <v>800000</v>
      </c>
    </row>
    <row r="122" spans="2:4" ht="14.25" customHeight="1">
      <c r="B122" s="22" t="s">
        <v>135</v>
      </c>
      <c r="C122" s="18" t="s">
        <v>182</v>
      </c>
      <c r="D122" s="23">
        <v>195000</v>
      </c>
    </row>
    <row r="123" spans="2:4" ht="14.25" customHeight="1">
      <c r="B123" s="22" t="s">
        <v>136</v>
      </c>
      <c r="C123" s="18" t="s">
        <v>183</v>
      </c>
      <c r="D123" s="23">
        <v>100000</v>
      </c>
    </row>
    <row r="124" spans="2:4" ht="14.25" customHeight="1">
      <c r="B124" s="22" t="s">
        <v>136</v>
      </c>
      <c r="C124" s="18" t="s">
        <v>138</v>
      </c>
      <c r="D124" s="23">
        <v>50000</v>
      </c>
    </row>
    <row r="125" spans="2:4" ht="14.25" customHeight="1">
      <c r="B125" s="22" t="s">
        <v>133</v>
      </c>
      <c r="C125" s="18" t="s">
        <v>184</v>
      </c>
      <c r="D125" s="23">
        <v>90000</v>
      </c>
    </row>
    <row r="126" spans="2:4" ht="14.25" customHeight="1">
      <c r="B126" s="22" t="s">
        <v>136</v>
      </c>
      <c r="C126" s="18" t="s">
        <v>185</v>
      </c>
      <c r="D126" s="23">
        <v>50000</v>
      </c>
    </row>
    <row r="127" spans="2:4" ht="14.25" customHeight="1">
      <c r="B127" s="22" t="s">
        <v>136</v>
      </c>
      <c r="C127" s="18" t="s">
        <v>186</v>
      </c>
      <c r="D127" s="23">
        <v>30000</v>
      </c>
    </row>
    <row r="128" spans="2:4" ht="14.25" customHeight="1">
      <c r="B128" s="22" t="s">
        <v>136</v>
      </c>
      <c r="C128" s="18" t="s">
        <v>183</v>
      </c>
      <c r="D128" s="23">
        <v>30000</v>
      </c>
    </row>
    <row r="129" spans="2:4" ht="14.25" customHeight="1">
      <c r="B129" s="22" t="s">
        <v>136</v>
      </c>
      <c r="C129" s="18" t="s">
        <v>137</v>
      </c>
      <c r="D129" s="23">
        <v>10000000</v>
      </c>
    </row>
    <row r="130" spans="2:4" ht="14.25" customHeight="1">
      <c r="B130" s="22" t="s">
        <v>136</v>
      </c>
      <c r="C130" s="18" t="s">
        <v>138</v>
      </c>
      <c r="D130" s="23">
        <v>5000000</v>
      </c>
    </row>
    <row r="131" spans="2:4" ht="14.25" customHeight="1">
      <c r="B131" s="22" t="s">
        <v>135</v>
      </c>
      <c r="C131" s="18" t="s">
        <v>182</v>
      </c>
      <c r="D131" s="23">
        <v>4000000</v>
      </c>
    </row>
    <row r="132" spans="2:4" ht="14.25" customHeight="1">
      <c r="B132" s="22" t="s">
        <v>136</v>
      </c>
      <c r="C132" s="18" t="s">
        <v>137</v>
      </c>
      <c r="D132" s="23">
        <v>1000000</v>
      </c>
    </row>
    <row r="133" spans="2:4" ht="14.25" customHeight="1">
      <c r="B133" s="22" t="s">
        <v>147</v>
      </c>
      <c r="C133" s="18" t="s">
        <v>175</v>
      </c>
      <c r="D133" s="23">
        <v>5000000</v>
      </c>
    </row>
    <row r="134" spans="2:4" ht="14.25" customHeight="1">
      <c r="B134" s="22" t="s">
        <v>136</v>
      </c>
      <c r="C134" s="18" t="s">
        <v>180</v>
      </c>
      <c r="D134" s="23">
        <v>25000</v>
      </c>
    </row>
    <row r="135" spans="2:4" ht="14.25" customHeight="1">
      <c r="B135" s="22" t="s">
        <v>136</v>
      </c>
      <c r="C135" s="18" t="s">
        <v>185</v>
      </c>
      <c r="D135" s="23">
        <v>100000</v>
      </c>
    </row>
    <row r="136" spans="2:4" ht="14.25" customHeight="1">
      <c r="B136" s="22" t="s">
        <v>136</v>
      </c>
      <c r="C136" s="18" t="s">
        <v>138</v>
      </c>
      <c r="D136" s="23">
        <v>60000</v>
      </c>
    </row>
    <row r="137" spans="2:4" ht="14.25" customHeight="1">
      <c r="B137" s="22" t="s">
        <v>133</v>
      </c>
      <c r="C137" s="18" t="s">
        <v>184</v>
      </c>
      <c r="D137" s="23">
        <v>200000</v>
      </c>
    </row>
    <row r="138" spans="2:4" ht="14.25" customHeight="1">
      <c r="B138" s="22" t="s">
        <v>147</v>
      </c>
      <c r="C138" s="18" t="s">
        <v>187</v>
      </c>
      <c r="D138" s="23">
        <v>2500000</v>
      </c>
    </row>
    <row r="139" spans="2:4" ht="14.25" customHeight="1">
      <c r="B139" s="22" t="s">
        <v>135</v>
      </c>
      <c r="C139" s="18" t="s">
        <v>182</v>
      </c>
      <c r="D139" s="23">
        <v>150000</v>
      </c>
    </row>
    <row r="140" spans="2:4" ht="14.25" customHeight="1">
      <c r="B140" s="22" t="s">
        <v>136</v>
      </c>
      <c r="C140" s="18" t="s">
        <v>138</v>
      </c>
      <c r="D140" s="23">
        <v>25000</v>
      </c>
    </row>
    <row r="141" spans="2:4" ht="14.25" customHeight="1">
      <c r="B141" s="22" t="s">
        <v>129</v>
      </c>
      <c r="C141" s="18" t="s">
        <v>151</v>
      </c>
      <c r="D141" s="23">
        <v>40000</v>
      </c>
    </row>
    <row r="142" spans="2:4" ht="14.25" customHeight="1">
      <c r="B142" s="22" t="s">
        <v>152</v>
      </c>
      <c r="C142" s="18" t="s">
        <v>175</v>
      </c>
      <c r="D142" s="23">
        <v>500000</v>
      </c>
    </row>
    <row r="143" spans="2:4" ht="14.25" customHeight="1">
      <c r="B143" s="22" t="s">
        <v>135</v>
      </c>
      <c r="C143" s="18" t="s">
        <v>165</v>
      </c>
      <c r="D143" s="23">
        <v>500000</v>
      </c>
    </row>
    <row r="144" spans="2:4" ht="14.25" customHeight="1">
      <c r="B144" s="22" t="s">
        <v>158</v>
      </c>
      <c r="C144" s="18" t="s">
        <v>144</v>
      </c>
      <c r="D144" s="23">
        <v>90000</v>
      </c>
    </row>
    <row r="145" spans="2:4" ht="14.25" customHeight="1">
      <c r="B145" s="22" t="s">
        <v>143</v>
      </c>
      <c r="C145" s="18" t="s">
        <v>149</v>
      </c>
      <c r="D145" s="23">
        <v>45000</v>
      </c>
    </row>
    <row r="146" spans="2:4" ht="14.25" customHeight="1">
      <c r="B146" s="22" t="s">
        <v>143</v>
      </c>
      <c r="C146" s="18" t="s">
        <v>188</v>
      </c>
      <c r="D146" s="23">
        <v>40000</v>
      </c>
    </row>
    <row r="147" spans="2:4" ht="14.25" customHeight="1">
      <c r="B147" s="22" t="s">
        <v>143</v>
      </c>
      <c r="C147" s="18" t="s">
        <v>189</v>
      </c>
      <c r="D147" s="23">
        <v>10000</v>
      </c>
    </row>
    <row r="148" spans="2:4" ht="14.25" customHeight="1">
      <c r="B148" s="22" t="s">
        <v>143</v>
      </c>
      <c r="C148" s="18" t="s">
        <v>188</v>
      </c>
      <c r="D148" s="23">
        <v>1000</v>
      </c>
    </row>
    <row r="149" spans="2:4" ht="14.25" customHeight="1">
      <c r="B149" s="22" t="s">
        <v>143</v>
      </c>
      <c r="C149" s="18" t="s">
        <v>162</v>
      </c>
      <c r="D149" s="23">
        <v>2600000</v>
      </c>
    </row>
    <row r="150" spans="2:4" ht="14.25" customHeight="1">
      <c r="B150" s="22" t="s">
        <v>143</v>
      </c>
      <c r="C150" s="18" t="s">
        <v>189</v>
      </c>
      <c r="D150" s="23">
        <v>500000</v>
      </c>
    </row>
    <row r="151" spans="2:4" ht="14.25" customHeight="1">
      <c r="B151" s="22" t="s">
        <v>143</v>
      </c>
      <c r="C151" s="18" t="s">
        <v>149</v>
      </c>
      <c r="D151" s="23">
        <v>1000</v>
      </c>
    </row>
    <row r="152" spans="2:4" ht="14.25" customHeight="1">
      <c r="B152" s="22" t="s">
        <v>153</v>
      </c>
      <c r="C152" s="18" t="s">
        <v>157</v>
      </c>
      <c r="D152" s="23">
        <v>1000</v>
      </c>
    </row>
    <row r="153" spans="2:4" ht="14.25" customHeight="1">
      <c r="B153" s="22" t="s">
        <v>143</v>
      </c>
      <c r="C153" s="18" t="s">
        <v>188</v>
      </c>
      <c r="D153" s="23">
        <v>1000</v>
      </c>
    </row>
    <row r="154" spans="2:4" ht="14.25" customHeight="1">
      <c r="B154" s="22" t="s">
        <v>136</v>
      </c>
      <c r="C154" s="18" t="s">
        <v>190</v>
      </c>
      <c r="D154" s="23">
        <v>1000</v>
      </c>
    </row>
    <row r="155" spans="2:4" ht="14.25" customHeight="1">
      <c r="B155" s="22" t="s">
        <v>143</v>
      </c>
      <c r="C155" s="18" t="s">
        <v>188</v>
      </c>
      <c r="D155" s="23">
        <v>1000</v>
      </c>
    </row>
    <row r="156" spans="2:4" ht="14.25" customHeight="1">
      <c r="B156" s="22" t="s">
        <v>143</v>
      </c>
      <c r="C156" s="18" t="s">
        <v>191</v>
      </c>
      <c r="D156" s="23">
        <v>1000</v>
      </c>
    </row>
    <row r="157" spans="2:4" ht="14.25" customHeight="1">
      <c r="B157" s="22" t="s">
        <v>153</v>
      </c>
      <c r="C157" s="18" t="s">
        <v>168</v>
      </c>
      <c r="D157" s="23">
        <v>1000</v>
      </c>
    </row>
    <row r="158" spans="2:4" ht="14.25" customHeight="1">
      <c r="B158" s="22" t="s">
        <v>143</v>
      </c>
      <c r="C158" s="18" t="s">
        <v>162</v>
      </c>
      <c r="D158" s="23">
        <v>1000</v>
      </c>
    </row>
    <row r="159" spans="2:4" ht="14.25" customHeight="1">
      <c r="B159" s="22" t="s">
        <v>153</v>
      </c>
      <c r="C159" s="18" t="s">
        <v>168</v>
      </c>
      <c r="D159" s="23">
        <v>1000</v>
      </c>
    </row>
    <row r="160" spans="2:4" ht="14.25" customHeight="1">
      <c r="B160" s="22" t="s">
        <v>143</v>
      </c>
      <c r="C160" s="18" t="s">
        <v>189</v>
      </c>
      <c r="D160" s="23">
        <v>1000</v>
      </c>
    </row>
    <row r="161" spans="2:4" ht="14.25" customHeight="1">
      <c r="B161" s="22" t="s">
        <v>143</v>
      </c>
      <c r="C161" s="18" t="s">
        <v>144</v>
      </c>
      <c r="D161" s="23">
        <v>1000</v>
      </c>
    </row>
    <row r="162" spans="2:4" ht="14.25" customHeight="1">
      <c r="B162" s="22" t="s">
        <v>143</v>
      </c>
      <c r="C162" s="18" t="s">
        <v>149</v>
      </c>
      <c r="D162" s="23">
        <v>1000</v>
      </c>
    </row>
    <row r="163" spans="2:4" ht="14.25" customHeight="1">
      <c r="B163" s="22" t="s">
        <v>158</v>
      </c>
      <c r="C163" s="18" t="s">
        <v>157</v>
      </c>
      <c r="D163" s="23">
        <v>10000</v>
      </c>
    </row>
    <row r="164" spans="2:4" ht="14.25" customHeight="1">
      <c r="B164" s="22" t="s">
        <v>133</v>
      </c>
      <c r="C164" s="18" t="s">
        <v>192</v>
      </c>
      <c r="D164" s="23">
        <v>700000</v>
      </c>
    </row>
    <row r="165" spans="2:4" ht="14.25" customHeight="1">
      <c r="B165" s="22" t="s">
        <v>143</v>
      </c>
      <c r="C165" s="18" t="s">
        <v>144</v>
      </c>
      <c r="D165" s="23">
        <v>500000</v>
      </c>
    </row>
    <row r="166" spans="2:4" ht="14.25" customHeight="1">
      <c r="B166" s="22" t="s">
        <v>143</v>
      </c>
      <c r="C166" s="18" t="s">
        <v>188</v>
      </c>
      <c r="D166" s="23">
        <v>100000</v>
      </c>
    </row>
    <row r="167" spans="2:4" ht="14.25" customHeight="1">
      <c r="B167" s="22" t="s">
        <v>133</v>
      </c>
      <c r="C167" s="18" t="s">
        <v>192</v>
      </c>
      <c r="D167" s="23">
        <v>100000</v>
      </c>
    </row>
    <row r="168" spans="2:4" ht="14.25" customHeight="1">
      <c r="B168" s="22" t="s">
        <v>143</v>
      </c>
      <c r="C168" s="18" t="s">
        <v>189</v>
      </c>
      <c r="D168" s="23">
        <v>5100</v>
      </c>
    </row>
    <row r="169" spans="2:4" ht="14.25" customHeight="1">
      <c r="B169" s="22" t="s">
        <v>143</v>
      </c>
      <c r="C169" s="18" t="s">
        <v>144</v>
      </c>
      <c r="D169" s="23">
        <v>250000</v>
      </c>
    </row>
    <row r="170" spans="2:4" ht="14.25" customHeight="1">
      <c r="B170" s="22" t="s">
        <v>143</v>
      </c>
      <c r="C170" s="18" t="s">
        <v>191</v>
      </c>
      <c r="D170" s="23">
        <v>50000</v>
      </c>
    </row>
    <row r="171" spans="2:4" ht="14.25" customHeight="1">
      <c r="B171" s="22" t="s">
        <v>143</v>
      </c>
      <c r="C171" s="18" t="s">
        <v>193</v>
      </c>
      <c r="D171" s="23">
        <v>60000</v>
      </c>
    </row>
    <row r="172" spans="2:4" ht="14.25" customHeight="1">
      <c r="B172" s="22" t="s">
        <v>143</v>
      </c>
      <c r="C172" s="18" t="s">
        <v>149</v>
      </c>
      <c r="D172" s="23">
        <v>40000</v>
      </c>
    </row>
    <row r="173" spans="2:4" ht="14.25" customHeight="1">
      <c r="B173" s="22" t="s">
        <v>158</v>
      </c>
      <c r="C173" s="18" t="s">
        <v>149</v>
      </c>
      <c r="D173" s="23">
        <v>100000</v>
      </c>
    </row>
    <row r="174" spans="2:4" ht="14.25" customHeight="1">
      <c r="B174" s="22" t="s">
        <v>143</v>
      </c>
      <c r="C174" s="18" t="s">
        <v>149</v>
      </c>
      <c r="D174" s="23">
        <v>95000</v>
      </c>
    </row>
    <row r="175" spans="2:4" ht="14.25" customHeight="1">
      <c r="B175" s="22" t="s">
        <v>143</v>
      </c>
      <c r="C175" s="18" t="s">
        <v>149</v>
      </c>
      <c r="D175" s="23">
        <v>100100</v>
      </c>
    </row>
    <row r="176" spans="2:4" ht="14.25" customHeight="1">
      <c r="B176" s="22" t="s">
        <v>158</v>
      </c>
      <c r="C176" s="18" t="s">
        <v>144</v>
      </c>
      <c r="D176" s="23">
        <v>300000</v>
      </c>
    </row>
    <row r="177" spans="2:4" ht="14.25" customHeight="1">
      <c r="B177" s="22" t="s">
        <v>143</v>
      </c>
      <c r="C177" s="18" t="s">
        <v>149</v>
      </c>
      <c r="D177" s="23">
        <v>100000</v>
      </c>
    </row>
    <row r="178" spans="2:4" ht="14.25" customHeight="1">
      <c r="B178" s="22" t="s">
        <v>143</v>
      </c>
      <c r="C178" s="18" t="s">
        <v>162</v>
      </c>
      <c r="D178" s="23">
        <v>100000</v>
      </c>
    </row>
    <row r="179" spans="2:4" ht="14.25" customHeight="1">
      <c r="B179" s="22" t="s">
        <v>158</v>
      </c>
      <c r="C179" s="18" t="s">
        <v>149</v>
      </c>
      <c r="D179" s="23">
        <v>100000</v>
      </c>
    </row>
    <row r="180" spans="2:4" ht="14.25" customHeight="1">
      <c r="B180" s="22" t="s">
        <v>143</v>
      </c>
      <c r="C180" s="18" t="s">
        <v>188</v>
      </c>
      <c r="D180" s="23">
        <v>100000</v>
      </c>
    </row>
    <row r="181" spans="2:4" ht="14.25" customHeight="1">
      <c r="B181" s="22" t="s">
        <v>143</v>
      </c>
      <c r="C181" s="18" t="s">
        <v>188</v>
      </c>
      <c r="D181" s="23">
        <v>200000</v>
      </c>
    </row>
    <row r="182" spans="2:4" ht="14.25" customHeight="1">
      <c r="B182" s="22" t="s">
        <v>143</v>
      </c>
      <c r="C182" s="18" t="s">
        <v>193</v>
      </c>
      <c r="D182" s="23">
        <v>45000</v>
      </c>
    </row>
    <row r="183" spans="2:4" ht="14.25" customHeight="1">
      <c r="B183" s="22" t="s">
        <v>158</v>
      </c>
      <c r="C183" s="18" t="s">
        <v>188</v>
      </c>
      <c r="D183" s="23">
        <v>40000</v>
      </c>
    </row>
    <row r="184" spans="2:4" ht="14.25" customHeight="1">
      <c r="B184" s="22" t="s">
        <v>143</v>
      </c>
      <c r="C184" s="18" t="s">
        <v>188</v>
      </c>
      <c r="D184" s="23">
        <v>40000</v>
      </c>
    </row>
    <row r="185" spans="2:4" ht="14.25" customHeight="1">
      <c r="B185" s="22" t="s">
        <v>143</v>
      </c>
      <c r="C185" s="18" t="s">
        <v>188</v>
      </c>
      <c r="D185" s="23">
        <v>20000</v>
      </c>
    </row>
    <row r="186" spans="2:4" ht="14.25" customHeight="1">
      <c r="B186" s="22" t="s">
        <v>143</v>
      </c>
      <c r="C186" s="18" t="s">
        <v>168</v>
      </c>
      <c r="D186" s="23">
        <v>40000</v>
      </c>
    </row>
    <row r="187" spans="2:4" ht="14.25" customHeight="1">
      <c r="B187" s="22" t="s">
        <v>143</v>
      </c>
      <c r="C187" s="18" t="s">
        <v>188</v>
      </c>
      <c r="D187" s="23">
        <v>40000</v>
      </c>
    </row>
    <row r="188" spans="2:4" ht="14.25" customHeight="1">
      <c r="B188" s="22" t="s">
        <v>143</v>
      </c>
      <c r="C188" s="18" t="s">
        <v>193</v>
      </c>
      <c r="D188" s="23">
        <v>40000</v>
      </c>
    </row>
    <row r="189" spans="2:4" ht="14.25" customHeight="1">
      <c r="B189" s="22" t="s">
        <v>158</v>
      </c>
      <c r="C189" s="18" t="s">
        <v>168</v>
      </c>
      <c r="D189" s="23">
        <v>40000</v>
      </c>
    </row>
    <row r="190" spans="2:4" ht="14.25" customHeight="1">
      <c r="B190" s="22" t="s">
        <v>143</v>
      </c>
      <c r="C190" s="18" t="s">
        <v>194</v>
      </c>
      <c r="D190" s="23">
        <v>40000</v>
      </c>
    </row>
    <row r="191" spans="2:4" ht="14.25" customHeight="1">
      <c r="B191" s="22" t="s">
        <v>143</v>
      </c>
      <c r="C191" s="18" t="s">
        <v>188</v>
      </c>
      <c r="D191" s="23">
        <v>20000</v>
      </c>
    </row>
    <row r="192" spans="2:4" ht="14.25" customHeight="1">
      <c r="B192" s="22" t="s">
        <v>143</v>
      </c>
      <c r="C192" s="18" t="s">
        <v>149</v>
      </c>
      <c r="D192" s="23">
        <v>40000</v>
      </c>
    </row>
    <row r="193" spans="2:4" ht="14.25" customHeight="1">
      <c r="B193" s="22" t="s">
        <v>153</v>
      </c>
      <c r="C193" s="18" t="s">
        <v>157</v>
      </c>
      <c r="D193" s="23">
        <v>40000</v>
      </c>
    </row>
    <row r="194" spans="2:4" ht="14.25" customHeight="1">
      <c r="B194" s="22" t="s">
        <v>143</v>
      </c>
      <c r="C194" s="18" t="s">
        <v>188</v>
      </c>
      <c r="D194" s="23">
        <v>190000</v>
      </c>
    </row>
    <row r="195" spans="2:4" ht="14.25" customHeight="1">
      <c r="B195" s="22" t="s">
        <v>143</v>
      </c>
      <c r="C195" s="18" t="s">
        <v>149</v>
      </c>
      <c r="D195" s="23">
        <v>250000</v>
      </c>
    </row>
    <row r="196" spans="2:4" ht="14.25" customHeight="1">
      <c r="B196" s="22" t="s">
        <v>143</v>
      </c>
      <c r="C196" s="18" t="s">
        <v>193</v>
      </c>
      <c r="D196" s="23">
        <v>200000</v>
      </c>
    </row>
    <row r="197" spans="2:4" ht="14.25" customHeight="1">
      <c r="B197" s="22" t="s">
        <v>143</v>
      </c>
      <c r="C197" s="18" t="s">
        <v>149</v>
      </c>
      <c r="D197" s="23">
        <v>1800000</v>
      </c>
    </row>
    <row r="198" spans="2:4" ht="14.25" customHeight="1">
      <c r="B198" s="22" t="s">
        <v>143</v>
      </c>
      <c r="C198" s="18" t="s">
        <v>188</v>
      </c>
      <c r="D198" s="23">
        <v>60000</v>
      </c>
    </row>
    <row r="199" spans="2:4" ht="14.25" customHeight="1">
      <c r="B199" s="22" t="s">
        <v>143</v>
      </c>
      <c r="C199" s="18" t="s">
        <v>149</v>
      </c>
      <c r="D199" s="23">
        <v>50000</v>
      </c>
    </row>
    <row r="200" spans="2:4" ht="14.25" customHeight="1">
      <c r="B200" s="22" t="s">
        <v>143</v>
      </c>
      <c r="C200" s="18" t="s">
        <v>193</v>
      </c>
      <c r="D200" s="23">
        <v>30000</v>
      </c>
    </row>
    <row r="201" spans="2:4" ht="14.25" customHeight="1">
      <c r="B201" s="22" t="s">
        <v>143</v>
      </c>
      <c r="C201" s="18" t="s">
        <v>149</v>
      </c>
      <c r="D201" s="23">
        <v>50000</v>
      </c>
    </row>
    <row r="202" spans="2:4" ht="14.25" customHeight="1">
      <c r="B202" s="22" t="s">
        <v>143</v>
      </c>
      <c r="C202" s="18" t="s">
        <v>188</v>
      </c>
      <c r="D202" s="23">
        <v>48000</v>
      </c>
    </row>
    <row r="203" spans="2:4" ht="14.25" customHeight="1">
      <c r="B203" s="22" t="s">
        <v>143</v>
      </c>
      <c r="C203" s="18" t="s">
        <v>188</v>
      </c>
      <c r="D203" s="23">
        <v>1500000</v>
      </c>
    </row>
    <row r="204" spans="2:4" ht="14.25" customHeight="1">
      <c r="B204" s="22" t="s">
        <v>143</v>
      </c>
      <c r="C204" s="18" t="s">
        <v>189</v>
      </c>
      <c r="D204" s="23">
        <v>50000</v>
      </c>
    </row>
    <row r="205" spans="2:4" ht="14.25" customHeight="1">
      <c r="B205" s="22" t="s">
        <v>143</v>
      </c>
      <c r="C205" s="18" t="s">
        <v>195</v>
      </c>
      <c r="D205" s="23">
        <v>10000000</v>
      </c>
    </row>
    <row r="206" spans="2:4" ht="14.25" customHeight="1">
      <c r="B206" s="22" t="s">
        <v>143</v>
      </c>
      <c r="C206" s="18" t="s">
        <v>188</v>
      </c>
      <c r="D206" s="23">
        <v>5000000</v>
      </c>
    </row>
    <row r="207" spans="2:4" ht="14.25" customHeight="1">
      <c r="B207" s="22" t="s">
        <v>143</v>
      </c>
      <c r="C207" s="18" t="s">
        <v>149</v>
      </c>
      <c r="D207" s="23">
        <v>105000</v>
      </c>
    </row>
    <row r="208" spans="2:4" ht="14.25" customHeight="1">
      <c r="B208" s="22" t="s">
        <v>133</v>
      </c>
      <c r="C208" s="18" t="s">
        <v>192</v>
      </c>
      <c r="D208" s="23">
        <v>1000000</v>
      </c>
    </row>
    <row r="209" spans="2:4" ht="14.25" customHeight="1">
      <c r="B209" s="22" t="s">
        <v>143</v>
      </c>
      <c r="C209" s="18" t="s">
        <v>162</v>
      </c>
      <c r="D209" s="23">
        <v>150000</v>
      </c>
    </row>
    <row r="210" spans="2:4" ht="14.25" customHeight="1">
      <c r="B210" s="22" t="s">
        <v>143</v>
      </c>
      <c r="C210" s="18" t="s">
        <v>188</v>
      </c>
      <c r="D210" s="23">
        <v>50000</v>
      </c>
    </row>
    <row r="211" spans="2:4" ht="14.25" customHeight="1">
      <c r="B211" s="22" t="s">
        <v>158</v>
      </c>
      <c r="C211" s="18" t="s">
        <v>168</v>
      </c>
      <c r="D211" s="23">
        <v>175000</v>
      </c>
    </row>
    <row r="212" spans="2:4" ht="14.25" customHeight="1">
      <c r="B212" s="22" t="s">
        <v>143</v>
      </c>
      <c r="C212" s="18" t="s">
        <v>188</v>
      </c>
      <c r="D212" s="23">
        <v>66518</v>
      </c>
    </row>
    <row r="213" spans="2:4" ht="14.25" customHeight="1">
      <c r="B213" s="22" t="s">
        <v>158</v>
      </c>
      <c r="C213" s="18" t="s">
        <v>157</v>
      </c>
      <c r="D213" s="23">
        <v>39344</v>
      </c>
    </row>
    <row r="214" spans="2:4" ht="14.25" customHeight="1">
      <c r="B214" s="22" t="s">
        <v>143</v>
      </c>
      <c r="C214" s="18" t="s">
        <v>149</v>
      </c>
      <c r="D214" s="23">
        <v>66518</v>
      </c>
    </row>
    <row r="215" spans="2:4" ht="14.25" customHeight="1">
      <c r="B215" s="22" t="s">
        <v>133</v>
      </c>
      <c r="C215" s="18" t="s">
        <v>196</v>
      </c>
      <c r="D215" s="23">
        <v>39344</v>
      </c>
    </row>
    <row r="216" spans="2:4" ht="14.25" customHeight="1">
      <c r="B216" s="22" t="s">
        <v>143</v>
      </c>
      <c r="C216" s="18" t="s">
        <v>188</v>
      </c>
      <c r="D216" s="23">
        <v>300000</v>
      </c>
    </row>
    <row r="217" spans="2:4" ht="14.25" customHeight="1">
      <c r="B217" s="22" t="s">
        <v>143</v>
      </c>
      <c r="C217" s="18" t="s">
        <v>195</v>
      </c>
      <c r="D217" s="23">
        <v>330000</v>
      </c>
    </row>
    <row r="218" spans="2:4" ht="14.25" customHeight="1">
      <c r="B218" s="22" t="s">
        <v>153</v>
      </c>
      <c r="C218" s="18" t="s">
        <v>149</v>
      </c>
      <c r="D218" s="23">
        <v>4000000</v>
      </c>
    </row>
    <row r="219" spans="2:4" ht="14.25" customHeight="1">
      <c r="B219" s="22" t="s">
        <v>153</v>
      </c>
      <c r="C219" s="18" t="s">
        <v>168</v>
      </c>
      <c r="D219" s="23">
        <v>200000</v>
      </c>
    </row>
    <row r="220" spans="2:4" ht="14.25" customHeight="1">
      <c r="B220" s="22" t="s">
        <v>143</v>
      </c>
      <c r="C220" s="18" t="s">
        <v>188</v>
      </c>
      <c r="D220" s="23">
        <v>50000</v>
      </c>
    </row>
    <row r="221" spans="2:4" ht="14.25" customHeight="1">
      <c r="B221" s="22" t="s">
        <v>143</v>
      </c>
      <c r="C221" s="18" t="s">
        <v>149</v>
      </c>
      <c r="D221" s="23">
        <v>1300000</v>
      </c>
    </row>
    <row r="222" spans="2:4" ht="14.25" customHeight="1">
      <c r="B222" s="22" t="s">
        <v>143</v>
      </c>
      <c r="C222" s="18" t="s">
        <v>164</v>
      </c>
      <c r="D222" s="23">
        <v>200000</v>
      </c>
    </row>
    <row r="223" spans="2:4" ht="14.25" customHeight="1">
      <c r="B223" s="22" t="s">
        <v>143</v>
      </c>
      <c r="C223" s="18" t="s">
        <v>189</v>
      </c>
      <c r="D223" s="23">
        <v>10788885</v>
      </c>
    </row>
    <row r="224" spans="2:4" ht="14.25" customHeight="1">
      <c r="B224" s="22" t="s">
        <v>143</v>
      </c>
      <c r="C224" s="18" t="s">
        <v>144</v>
      </c>
      <c r="D224" s="23">
        <v>10002</v>
      </c>
    </row>
    <row r="225" spans="2:4" ht="14.25" customHeight="1">
      <c r="B225" s="22" t="s">
        <v>143</v>
      </c>
      <c r="C225" s="18" t="s">
        <v>149</v>
      </c>
      <c r="D225" s="23">
        <v>7700000</v>
      </c>
    </row>
    <row r="226" spans="2:4" ht="14.25" customHeight="1">
      <c r="B226" s="22" t="s">
        <v>143</v>
      </c>
      <c r="C226" s="18" t="s">
        <v>144</v>
      </c>
      <c r="D226" s="23">
        <v>345000</v>
      </c>
    </row>
    <row r="227" spans="2:4" ht="14.25" customHeight="1">
      <c r="B227" s="22" t="s">
        <v>143</v>
      </c>
      <c r="C227" s="18" t="s">
        <v>188</v>
      </c>
      <c r="D227" s="23">
        <v>4900000</v>
      </c>
    </row>
    <row r="228" spans="2:4" ht="14.25" customHeight="1">
      <c r="B228" s="22" t="s">
        <v>143</v>
      </c>
      <c r="C228" s="18" t="s">
        <v>149</v>
      </c>
      <c r="D228" s="23">
        <v>1500000</v>
      </c>
    </row>
    <row r="229" spans="2:4" ht="14.25" customHeight="1">
      <c r="B229" s="22" t="s">
        <v>158</v>
      </c>
      <c r="C229" s="18" t="s">
        <v>171</v>
      </c>
      <c r="D229" s="23">
        <v>1713445</v>
      </c>
    </row>
    <row r="230" spans="2:4" ht="14.25" customHeight="1">
      <c r="B230" s="22" t="s">
        <v>143</v>
      </c>
      <c r="C230" s="18" t="s">
        <v>149</v>
      </c>
      <c r="D230" s="23">
        <v>145000</v>
      </c>
    </row>
    <row r="231" spans="2:4" ht="14.25" customHeight="1">
      <c r="B231" s="22" t="s">
        <v>158</v>
      </c>
      <c r="C231" s="18" t="s">
        <v>144</v>
      </c>
      <c r="D231" s="23">
        <v>1500000</v>
      </c>
    </row>
    <row r="232" spans="2:4" ht="14.25" customHeight="1">
      <c r="B232" s="22" t="s">
        <v>143</v>
      </c>
      <c r="C232" s="18" t="s">
        <v>193</v>
      </c>
      <c r="D232" s="23">
        <v>300000</v>
      </c>
    </row>
    <row r="233" spans="2:4" ht="14.25" customHeight="1">
      <c r="B233" s="22" t="s">
        <v>143</v>
      </c>
      <c r="C233" s="18" t="s">
        <v>197</v>
      </c>
      <c r="D233" s="23">
        <v>149000</v>
      </c>
    </row>
    <row r="234" spans="2:4" ht="14.25" customHeight="1">
      <c r="B234" s="22" t="s">
        <v>143</v>
      </c>
      <c r="C234" s="18" t="s">
        <v>149</v>
      </c>
      <c r="D234" s="23">
        <v>200000</v>
      </c>
    </row>
    <row r="235" spans="2:4" ht="14.25" customHeight="1">
      <c r="B235" s="22" t="s">
        <v>158</v>
      </c>
      <c r="C235" s="18" t="s">
        <v>168</v>
      </c>
      <c r="D235" s="23">
        <v>2000000</v>
      </c>
    </row>
    <row r="236" spans="2:4" ht="14.25" customHeight="1">
      <c r="B236" s="22" t="s">
        <v>153</v>
      </c>
      <c r="C236" s="18" t="s">
        <v>171</v>
      </c>
      <c r="D236" s="23">
        <v>40000</v>
      </c>
    </row>
    <row r="237" spans="2:4" ht="14.25" customHeight="1">
      <c r="B237" s="22" t="s">
        <v>143</v>
      </c>
      <c r="C237" s="18" t="s">
        <v>149</v>
      </c>
      <c r="D237" s="23">
        <v>300000</v>
      </c>
    </row>
    <row r="238" spans="2:4" ht="14.25" customHeight="1">
      <c r="B238" s="22" t="s">
        <v>153</v>
      </c>
      <c r="C238" s="18" t="s">
        <v>156</v>
      </c>
      <c r="D238" s="23">
        <v>10000</v>
      </c>
    </row>
    <row r="239" spans="2:4" ht="14.25" customHeight="1">
      <c r="B239" s="22" t="s">
        <v>153</v>
      </c>
      <c r="C239" s="18" t="s">
        <v>149</v>
      </c>
      <c r="D239" s="23">
        <v>100000</v>
      </c>
    </row>
    <row r="240" spans="2:4" ht="14.25" customHeight="1">
      <c r="B240" s="22" t="s">
        <v>143</v>
      </c>
      <c r="C240" s="18" t="s">
        <v>189</v>
      </c>
      <c r="D240" s="23">
        <v>50000</v>
      </c>
    </row>
    <row r="241" spans="2:4" ht="14.25" customHeight="1">
      <c r="B241" s="22" t="s">
        <v>143</v>
      </c>
      <c r="C241" s="18" t="s">
        <v>149</v>
      </c>
      <c r="D241" s="23">
        <v>50100</v>
      </c>
    </row>
    <row r="242" spans="2:4" ht="14.25" customHeight="1">
      <c r="B242" s="22" t="s">
        <v>158</v>
      </c>
      <c r="C242" s="18" t="s">
        <v>171</v>
      </c>
      <c r="D242" s="23">
        <v>150000</v>
      </c>
    </row>
    <row r="243" spans="2:4" ht="14.25" customHeight="1">
      <c r="B243" s="22" t="s">
        <v>143</v>
      </c>
      <c r="C243" s="18" t="s">
        <v>198</v>
      </c>
      <c r="D243" s="23">
        <v>25000</v>
      </c>
    </row>
    <row r="244" spans="2:4" ht="14.25" customHeight="1">
      <c r="B244" s="22" t="s">
        <v>140</v>
      </c>
      <c r="C244" s="18" t="s">
        <v>139</v>
      </c>
      <c r="D244" s="23">
        <v>5000</v>
      </c>
    </row>
    <row r="245" spans="2:4" ht="14.25" customHeight="1">
      <c r="B245" s="22" t="s">
        <v>140</v>
      </c>
      <c r="C245" s="18" t="s">
        <v>199</v>
      </c>
      <c r="D245" s="23">
        <v>25000</v>
      </c>
    </row>
    <row r="246" spans="2:4" ht="14.25" customHeight="1">
      <c r="B246" s="22" t="s">
        <v>140</v>
      </c>
      <c r="C246" s="18" t="s">
        <v>199</v>
      </c>
      <c r="D246" s="23">
        <v>10000</v>
      </c>
    </row>
    <row r="247" spans="2:4" ht="14.25" customHeight="1">
      <c r="B247" s="22" t="s">
        <v>140</v>
      </c>
      <c r="C247" s="18" t="s">
        <v>199</v>
      </c>
      <c r="D247" s="23">
        <v>400000</v>
      </c>
    </row>
    <row r="248" spans="2:4" ht="14.25" customHeight="1">
      <c r="B248" s="22" t="s">
        <v>143</v>
      </c>
      <c r="C248" s="18" t="s">
        <v>144</v>
      </c>
      <c r="D248" s="23">
        <v>1400000</v>
      </c>
    </row>
    <row r="249" spans="2:4" ht="14.25" customHeight="1">
      <c r="B249" s="22" t="s">
        <v>143</v>
      </c>
      <c r="C249" s="18" t="s">
        <v>149</v>
      </c>
      <c r="D249" s="23">
        <v>150000</v>
      </c>
    </row>
    <row r="250" spans="2:4" ht="14.25" customHeight="1">
      <c r="B250" s="22" t="s">
        <v>143</v>
      </c>
      <c r="C250" s="18" t="s">
        <v>149</v>
      </c>
      <c r="D250" s="23">
        <v>300000</v>
      </c>
    </row>
    <row r="251" spans="2:4" ht="14.25" customHeight="1">
      <c r="B251" s="22" t="s">
        <v>143</v>
      </c>
      <c r="C251" s="18" t="s">
        <v>149</v>
      </c>
      <c r="D251" s="23">
        <v>150000</v>
      </c>
    </row>
    <row r="252" spans="2:4" ht="14.25" customHeight="1">
      <c r="B252" s="22" t="s">
        <v>143</v>
      </c>
      <c r="C252" s="18" t="s">
        <v>149</v>
      </c>
      <c r="D252" s="23">
        <v>100000</v>
      </c>
    </row>
    <row r="253" spans="2:4" ht="14.25" customHeight="1">
      <c r="B253" s="22" t="s">
        <v>129</v>
      </c>
      <c r="C253" s="18" t="s">
        <v>146</v>
      </c>
      <c r="D253" s="23">
        <v>25000</v>
      </c>
    </row>
    <row r="254" spans="2:4" ht="14.25" customHeight="1">
      <c r="B254" s="22" t="s">
        <v>129</v>
      </c>
      <c r="C254" s="18" t="s">
        <v>190</v>
      </c>
      <c r="D254" s="23">
        <v>500000</v>
      </c>
    </row>
    <row r="255" spans="2:4" ht="14.25" customHeight="1">
      <c r="B255" s="22" t="s">
        <v>129</v>
      </c>
      <c r="C255" s="18" t="s">
        <v>190</v>
      </c>
      <c r="D255" s="23">
        <v>128000</v>
      </c>
    </row>
    <row r="256" spans="2:4" ht="14.25" customHeight="1">
      <c r="B256" s="22" t="s">
        <v>150</v>
      </c>
      <c r="C256" s="18" t="s">
        <v>159</v>
      </c>
      <c r="D256" s="23">
        <v>300000</v>
      </c>
    </row>
    <row r="257" spans="2:4" ht="14.25" customHeight="1">
      <c r="B257" s="22" t="s">
        <v>143</v>
      </c>
      <c r="C257" s="18" t="s">
        <v>200</v>
      </c>
      <c r="D257" s="23">
        <v>75000</v>
      </c>
    </row>
    <row r="258" spans="2:4" ht="14.25" customHeight="1">
      <c r="B258" s="22" t="s">
        <v>129</v>
      </c>
      <c r="C258" s="18" t="s">
        <v>146</v>
      </c>
      <c r="D258" s="23">
        <v>45300</v>
      </c>
    </row>
    <row r="259" spans="2:4" ht="14.25" customHeight="1">
      <c r="B259" s="22" t="s">
        <v>153</v>
      </c>
      <c r="C259" s="18" t="s">
        <v>168</v>
      </c>
      <c r="D259" s="23">
        <v>100000</v>
      </c>
    </row>
    <row r="260" spans="2:4" ht="14.25" customHeight="1">
      <c r="B260" s="22" t="s">
        <v>145</v>
      </c>
      <c r="C260" s="18" t="s">
        <v>146</v>
      </c>
      <c r="D260" s="23">
        <v>200000</v>
      </c>
    </row>
    <row r="261" spans="2:4" ht="14.25" customHeight="1">
      <c r="B261" s="22" t="s">
        <v>158</v>
      </c>
      <c r="C261" s="18" t="s">
        <v>171</v>
      </c>
      <c r="D261" s="23">
        <v>5000</v>
      </c>
    </row>
    <row r="262" spans="2:4" ht="14.25" customHeight="1">
      <c r="B262" s="22" t="s">
        <v>143</v>
      </c>
      <c r="C262" s="18" t="s">
        <v>144</v>
      </c>
      <c r="D262" s="23">
        <v>5000</v>
      </c>
    </row>
    <row r="263" spans="2:4" ht="14.25" customHeight="1">
      <c r="B263" s="22" t="s">
        <v>129</v>
      </c>
      <c r="C263" s="18" t="s">
        <v>130</v>
      </c>
      <c r="D263" s="23">
        <v>6000</v>
      </c>
    </row>
    <row r="264" spans="2:4" ht="14.25" customHeight="1">
      <c r="B264" s="22" t="s">
        <v>136</v>
      </c>
      <c r="C264" s="18" t="s">
        <v>201</v>
      </c>
      <c r="D264" s="23">
        <v>6000</v>
      </c>
    </row>
    <row r="265" spans="2:4" ht="14.25" customHeight="1">
      <c r="B265" s="22" t="s">
        <v>136</v>
      </c>
      <c r="C265" s="18" t="s">
        <v>201</v>
      </c>
      <c r="D265" s="23">
        <v>10000</v>
      </c>
    </row>
    <row r="266" spans="2:4" ht="14.25" customHeight="1">
      <c r="B266" s="22" t="s">
        <v>136</v>
      </c>
      <c r="C266" s="18" t="s">
        <v>201</v>
      </c>
      <c r="D266" s="23">
        <v>5000</v>
      </c>
    </row>
    <row r="267" spans="2:4" ht="14.25" customHeight="1">
      <c r="B267" s="22" t="s">
        <v>136</v>
      </c>
      <c r="C267" s="18" t="s">
        <v>201</v>
      </c>
      <c r="D267" s="23">
        <v>50000</v>
      </c>
    </row>
    <row r="268" spans="2:4" ht="14.25" customHeight="1">
      <c r="B268" s="22" t="s">
        <v>136</v>
      </c>
      <c r="C268" s="18" t="s">
        <v>201</v>
      </c>
      <c r="D268" s="23">
        <v>50000</v>
      </c>
    </row>
    <row r="269" spans="2:4" ht="14.25" customHeight="1">
      <c r="B269" s="22" t="s">
        <v>136</v>
      </c>
      <c r="C269" s="18" t="s">
        <v>201</v>
      </c>
      <c r="D269" s="23">
        <v>700000</v>
      </c>
    </row>
    <row r="270" spans="2:4" ht="14.25" customHeight="1">
      <c r="B270" s="22" t="s">
        <v>135</v>
      </c>
      <c r="C270" s="18" t="s">
        <v>160</v>
      </c>
      <c r="D270" s="23">
        <v>300000</v>
      </c>
    </row>
    <row r="271" spans="2:4" ht="14.25" customHeight="1">
      <c r="B271" s="22" t="s">
        <v>129</v>
      </c>
      <c r="C271" s="18" t="s">
        <v>164</v>
      </c>
      <c r="D271" s="23">
        <v>60000</v>
      </c>
    </row>
    <row r="272" spans="2:4" ht="14.25" customHeight="1">
      <c r="B272" s="22" t="s">
        <v>153</v>
      </c>
      <c r="C272" s="18" t="s">
        <v>168</v>
      </c>
      <c r="D272" s="23">
        <v>60000</v>
      </c>
    </row>
    <row r="273" spans="2:4" ht="14.25" customHeight="1">
      <c r="B273" s="22" t="s">
        <v>133</v>
      </c>
      <c r="C273" s="18" t="s">
        <v>202</v>
      </c>
      <c r="D273" s="23">
        <v>400000</v>
      </c>
    </row>
    <row r="274" spans="2:4" ht="14.25" customHeight="1">
      <c r="B274" s="22" t="s">
        <v>153</v>
      </c>
      <c r="C274" s="18" t="s">
        <v>149</v>
      </c>
      <c r="D274" s="23">
        <v>3500000</v>
      </c>
    </row>
    <row r="275" spans="2:4" ht="14.25" customHeight="1">
      <c r="B275" s="22" t="s">
        <v>135</v>
      </c>
      <c r="C275" s="18" t="s">
        <v>165</v>
      </c>
      <c r="D275" s="23">
        <v>10000</v>
      </c>
    </row>
    <row r="276" spans="2:4" ht="14.25" customHeight="1">
      <c r="B276" s="22" t="s">
        <v>129</v>
      </c>
      <c r="C276" s="18" t="s">
        <v>130</v>
      </c>
      <c r="D276" s="23">
        <v>1000000</v>
      </c>
    </row>
    <row r="277" spans="2:4" ht="14.25" customHeight="1">
      <c r="B277" s="22" t="s">
        <v>153</v>
      </c>
      <c r="C277" s="18" t="s">
        <v>149</v>
      </c>
      <c r="D277" s="23">
        <v>1000000</v>
      </c>
    </row>
    <row r="278" spans="2:4" ht="14.25" customHeight="1">
      <c r="B278" s="22" t="s">
        <v>129</v>
      </c>
      <c r="C278" s="18" t="s">
        <v>130</v>
      </c>
      <c r="D278" s="23">
        <v>70000</v>
      </c>
    </row>
    <row r="279" spans="2:4" ht="14.25" customHeight="1">
      <c r="B279" s="22" t="s">
        <v>153</v>
      </c>
      <c r="C279" s="18" t="s">
        <v>149</v>
      </c>
      <c r="D279" s="23">
        <v>500000</v>
      </c>
    </row>
    <row r="280" spans="2:4" ht="14.25" customHeight="1">
      <c r="B280" s="22" t="s">
        <v>143</v>
      </c>
      <c r="C280" s="18" t="s">
        <v>149</v>
      </c>
      <c r="D280" s="23">
        <v>104000</v>
      </c>
    </row>
    <row r="281" spans="2:4" ht="14.25" customHeight="1">
      <c r="B281" s="22" t="s">
        <v>153</v>
      </c>
      <c r="C281" s="18" t="s">
        <v>149</v>
      </c>
      <c r="D281" s="23">
        <v>300000</v>
      </c>
    </row>
    <row r="282" spans="2:4" ht="14.25" customHeight="1">
      <c r="B282" s="22" t="s">
        <v>153</v>
      </c>
      <c r="C282" s="18" t="s">
        <v>149</v>
      </c>
      <c r="D282" s="23">
        <v>100000</v>
      </c>
    </row>
    <row r="283" spans="2:4" ht="14.25" customHeight="1">
      <c r="B283" s="22" t="s">
        <v>129</v>
      </c>
      <c r="C283" s="18" t="s">
        <v>130</v>
      </c>
      <c r="D283" s="23">
        <v>600000</v>
      </c>
    </row>
    <row r="284" spans="2:4" ht="14.25" customHeight="1">
      <c r="B284" s="22" t="s">
        <v>145</v>
      </c>
      <c r="C284" s="18" t="s">
        <v>146</v>
      </c>
      <c r="D284" s="23">
        <v>1000000</v>
      </c>
    </row>
    <row r="285" spans="2:4" ht="14.25" customHeight="1">
      <c r="B285" s="22" t="s">
        <v>129</v>
      </c>
      <c r="C285" s="18" t="s">
        <v>146</v>
      </c>
      <c r="D285" s="23">
        <v>20000</v>
      </c>
    </row>
    <row r="286" spans="2:4" ht="14.25" customHeight="1">
      <c r="B286" s="22" t="s">
        <v>153</v>
      </c>
      <c r="C286" s="18" t="s">
        <v>149</v>
      </c>
      <c r="D286" s="23">
        <v>1100000</v>
      </c>
    </row>
    <row r="287" spans="2:4" ht="14.25" customHeight="1">
      <c r="B287" s="22" t="s">
        <v>153</v>
      </c>
      <c r="C287" s="18" t="s">
        <v>149</v>
      </c>
      <c r="D287" s="23">
        <v>1000000</v>
      </c>
    </row>
    <row r="288" spans="2:4" ht="14.25" customHeight="1">
      <c r="B288" s="22" t="s">
        <v>129</v>
      </c>
      <c r="C288" s="18" t="s">
        <v>130</v>
      </c>
      <c r="D288" s="23">
        <v>20000</v>
      </c>
    </row>
    <row r="289" spans="2:4" ht="14.25" customHeight="1">
      <c r="B289" s="22" t="s">
        <v>129</v>
      </c>
      <c r="C289" s="18" t="s">
        <v>130</v>
      </c>
      <c r="D289" s="23">
        <v>20000</v>
      </c>
    </row>
    <row r="290" spans="2:4" ht="14.25" customHeight="1">
      <c r="B290" s="22" t="s">
        <v>129</v>
      </c>
      <c r="C290" s="18" t="s">
        <v>130</v>
      </c>
      <c r="D290" s="23">
        <v>20000</v>
      </c>
    </row>
    <row r="291" spans="2:4" ht="14.25" customHeight="1">
      <c r="B291" s="22" t="s">
        <v>145</v>
      </c>
      <c r="C291" s="18" t="s">
        <v>151</v>
      </c>
      <c r="D291" s="23">
        <v>20000</v>
      </c>
    </row>
    <row r="292" spans="2:4" ht="14.25" customHeight="1">
      <c r="B292" s="22" t="s">
        <v>136</v>
      </c>
      <c r="C292" s="18" t="s">
        <v>203</v>
      </c>
      <c r="D292" s="23">
        <v>20000</v>
      </c>
    </row>
    <row r="293" spans="2:4" ht="14.25" customHeight="1">
      <c r="B293" s="22" t="s">
        <v>143</v>
      </c>
      <c r="C293" s="18" t="s">
        <v>149</v>
      </c>
      <c r="D293" s="23">
        <v>190000</v>
      </c>
    </row>
    <row r="294" spans="2:4" ht="14.25" customHeight="1">
      <c r="B294" s="22" t="s">
        <v>143</v>
      </c>
      <c r="C294" s="18" t="s">
        <v>149</v>
      </c>
      <c r="D294" s="23">
        <v>160000</v>
      </c>
    </row>
    <row r="295" spans="2:4" ht="14.25" customHeight="1">
      <c r="B295" s="22" t="s">
        <v>143</v>
      </c>
      <c r="C295" s="18" t="s">
        <v>149</v>
      </c>
      <c r="D295" s="23">
        <v>150000</v>
      </c>
    </row>
    <row r="296" spans="2:4" ht="14.25" customHeight="1">
      <c r="B296" s="22" t="s">
        <v>136</v>
      </c>
      <c r="C296" s="18" t="s">
        <v>201</v>
      </c>
      <c r="D296" s="23">
        <v>50000</v>
      </c>
    </row>
    <row r="297" spans="2:4" ht="14.25" customHeight="1">
      <c r="B297" s="22" t="s">
        <v>143</v>
      </c>
      <c r="C297" s="18" t="s">
        <v>149</v>
      </c>
      <c r="D297" s="23">
        <v>500000</v>
      </c>
    </row>
    <row r="298" spans="2:4" ht="14.25" customHeight="1">
      <c r="B298" s="22" t="s">
        <v>136</v>
      </c>
      <c r="C298" s="18" t="s">
        <v>201</v>
      </c>
      <c r="D298" s="23">
        <v>1000</v>
      </c>
    </row>
    <row r="299" spans="2:4" ht="14.25" customHeight="1">
      <c r="B299" s="22" t="s">
        <v>136</v>
      </c>
      <c r="C299" s="18" t="s">
        <v>201</v>
      </c>
      <c r="D299" s="23">
        <v>1000</v>
      </c>
    </row>
    <row r="300" spans="2:4" ht="14.25" customHeight="1">
      <c r="B300" s="22" t="s">
        <v>136</v>
      </c>
      <c r="C300" s="18" t="s">
        <v>201</v>
      </c>
      <c r="D300" s="23">
        <v>10000</v>
      </c>
    </row>
    <row r="301" spans="2:4" ht="14.25" customHeight="1">
      <c r="B301" s="22" t="s">
        <v>136</v>
      </c>
      <c r="C301" s="18" t="s">
        <v>201</v>
      </c>
      <c r="D301" s="23">
        <v>195000</v>
      </c>
    </row>
    <row r="302" spans="2:4" ht="14.25" customHeight="1">
      <c r="B302" s="22" t="s">
        <v>136</v>
      </c>
      <c r="C302" s="18" t="s">
        <v>201</v>
      </c>
      <c r="D302" s="23">
        <v>100000</v>
      </c>
    </row>
    <row r="303" spans="2:4" ht="14.25" customHeight="1">
      <c r="B303" s="26" t="s">
        <v>136</v>
      </c>
      <c r="C303" s="44" t="s">
        <v>201</v>
      </c>
      <c r="D303" s="45">
        <v>1000000</v>
      </c>
    </row>
    <row r="304" spans="2:4" ht="14.25" customHeight="1">
      <c r="B304" s="97"/>
      <c r="C304" s="97"/>
      <c r="D304" s="97"/>
    </row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K1"/>
    <mergeCell ref="B4:D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H18" sqref="H18"/>
    </sheetView>
  </sheetViews>
  <sheetFormatPr defaultColWidth="14.42578125" defaultRowHeight="15" customHeight="1"/>
  <cols>
    <col min="1" max="1" width="8.7109375" customWidth="1"/>
    <col min="2" max="2" width="4.42578125" customWidth="1"/>
    <col min="3" max="3" width="22" customWidth="1"/>
    <col min="4" max="4" width="13.42578125" customWidth="1"/>
    <col min="5" max="5" width="16" bestFit="1" customWidth="1"/>
    <col min="6" max="26" width="8.7109375" customWidth="1"/>
  </cols>
  <sheetData>
    <row r="1" spans="1:11" ht="14.25" customHeight="1">
      <c r="A1" s="104" t="s">
        <v>204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14.25" customHeight="1">
      <c r="A2" s="97"/>
      <c r="B2" s="97"/>
      <c r="C2" s="29" t="s">
        <v>205</v>
      </c>
      <c r="D2" s="29" t="s">
        <v>206</v>
      </c>
      <c r="E2" s="29" t="s">
        <v>207</v>
      </c>
      <c r="F2" s="97"/>
      <c r="G2" s="97"/>
      <c r="H2" s="97"/>
      <c r="I2" s="97"/>
      <c r="J2" s="97"/>
      <c r="K2" s="97"/>
    </row>
    <row r="3" spans="1:11" ht="14.25" customHeight="1">
      <c r="A3" s="97"/>
      <c r="B3" s="97"/>
      <c r="C3" s="30" t="s">
        <v>208</v>
      </c>
      <c r="D3" s="31" t="s">
        <v>209</v>
      </c>
      <c r="E3" s="31" t="s">
        <v>210</v>
      </c>
      <c r="F3" s="97"/>
      <c r="G3" s="97"/>
      <c r="H3" s="97"/>
      <c r="I3" s="97"/>
      <c r="J3" s="97"/>
      <c r="K3" s="97"/>
    </row>
    <row r="4" spans="1:11" ht="14.25" customHeight="1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</row>
    <row r="5" spans="1:11" ht="14.25" customHeight="1">
      <c r="A5" s="97"/>
      <c r="B5" s="97"/>
      <c r="C5" s="97"/>
      <c r="D5" s="108" t="s">
        <v>211</v>
      </c>
      <c r="E5" s="107"/>
      <c r="F5" s="97"/>
      <c r="G5" s="97"/>
      <c r="H5" s="97"/>
      <c r="I5" s="97"/>
      <c r="J5" s="97"/>
      <c r="K5" s="97"/>
    </row>
    <row r="6" spans="1:11" ht="14.25" customHeight="1">
      <c r="A6" s="97"/>
      <c r="B6" s="8" t="s">
        <v>212</v>
      </c>
      <c r="C6" s="12" t="s">
        <v>109</v>
      </c>
      <c r="D6" s="12" t="s">
        <v>206</v>
      </c>
      <c r="E6" s="12" t="s">
        <v>207</v>
      </c>
      <c r="F6" s="97"/>
      <c r="G6" s="97"/>
      <c r="H6" s="97"/>
      <c r="I6" s="97"/>
      <c r="J6" s="97"/>
      <c r="K6" s="97"/>
    </row>
    <row r="7" spans="1:11" ht="14.25" customHeight="1">
      <c r="A7" s="97"/>
      <c r="B7" s="32">
        <v>1</v>
      </c>
      <c r="C7" s="80" t="s">
        <v>213</v>
      </c>
      <c r="D7" s="84" t="s">
        <v>214</v>
      </c>
      <c r="E7" s="84" t="s">
        <v>215</v>
      </c>
      <c r="F7" s="97"/>
      <c r="G7" s="97"/>
      <c r="H7" s="97"/>
      <c r="I7" s="97"/>
      <c r="J7" s="97"/>
      <c r="K7" s="97"/>
    </row>
    <row r="8" spans="1:11" ht="14.25" customHeight="1">
      <c r="A8" s="97"/>
      <c r="B8" s="32">
        <v>2</v>
      </c>
      <c r="C8" s="18" t="s">
        <v>216</v>
      </c>
      <c r="D8" s="84" t="s">
        <v>217</v>
      </c>
      <c r="E8" s="84" t="s">
        <v>214</v>
      </c>
      <c r="F8" s="97"/>
      <c r="G8" s="97"/>
      <c r="H8" s="97"/>
      <c r="I8" s="97"/>
      <c r="J8" s="97"/>
      <c r="K8" s="97"/>
    </row>
    <row r="9" spans="1:11" ht="14.25" customHeight="1">
      <c r="A9" s="97"/>
      <c r="B9" s="32">
        <v>3</v>
      </c>
      <c r="C9" s="18" t="s">
        <v>218</v>
      </c>
      <c r="D9" s="84" t="s">
        <v>219</v>
      </c>
      <c r="E9" s="84" t="s">
        <v>220</v>
      </c>
      <c r="F9" s="97"/>
      <c r="G9" s="97"/>
      <c r="H9" s="85" t="s">
        <v>221</v>
      </c>
      <c r="I9" s="97"/>
      <c r="J9" s="97"/>
      <c r="K9" s="97"/>
    </row>
    <row r="10" spans="1:11" ht="14.25" customHeight="1">
      <c r="A10" s="97"/>
      <c r="B10" s="32">
        <v>4</v>
      </c>
      <c r="C10" s="18" t="s">
        <v>222</v>
      </c>
      <c r="D10" s="84" t="s">
        <v>223</v>
      </c>
      <c r="E10" s="84" t="s">
        <v>224</v>
      </c>
      <c r="F10" s="97"/>
      <c r="G10" s="97"/>
      <c r="H10" s="97"/>
      <c r="I10" s="97"/>
      <c r="J10" s="97"/>
      <c r="K10" s="97"/>
    </row>
    <row r="11" spans="1:11" ht="14.25" customHeight="1">
      <c r="A11" s="97"/>
      <c r="B11" s="32">
        <v>5</v>
      </c>
      <c r="C11" s="18" t="s">
        <v>115</v>
      </c>
      <c r="D11" s="84" t="s">
        <v>225</v>
      </c>
      <c r="E11" s="84" t="s">
        <v>226</v>
      </c>
      <c r="F11" s="97"/>
      <c r="G11" s="97"/>
      <c r="H11" s="97"/>
      <c r="I11" s="97"/>
      <c r="J11" s="97"/>
      <c r="K11" s="97"/>
    </row>
    <row r="12" spans="1:11" ht="14.25" customHeight="1">
      <c r="A12" s="97"/>
      <c r="B12" s="32">
        <v>6</v>
      </c>
      <c r="C12" s="18" t="s">
        <v>227</v>
      </c>
      <c r="D12" s="84" t="s">
        <v>228</v>
      </c>
      <c r="E12" s="84" t="s">
        <v>229</v>
      </c>
      <c r="F12" s="97"/>
      <c r="G12" s="97"/>
      <c r="H12" s="97"/>
      <c r="I12" s="97"/>
      <c r="J12" s="97"/>
      <c r="K12" s="97"/>
    </row>
    <row r="13" spans="1:11" ht="14.25" customHeight="1">
      <c r="A13" s="97"/>
      <c r="B13" s="32">
        <v>7</v>
      </c>
      <c r="C13" s="18" t="s">
        <v>230</v>
      </c>
      <c r="D13" s="84" t="s">
        <v>231</v>
      </c>
      <c r="E13" s="84" t="s">
        <v>232</v>
      </c>
      <c r="F13" s="97"/>
      <c r="G13" s="97"/>
      <c r="H13" s="97"/>
      <c r="I13" s="97"/>
      <c r="J13" s="97"/>
      <c r="K13" s="97"/>
    </row>
    <row r="14" spans="1:11" ht="14.25" customHeight="1">
      <c r="A14" s="97"/>
      <c r="B14" s="32">
        <v>8</v>
      </c>
      <c r="C14" s="18" t="s">
        <v>233</v>
      </c>
      <c r="D14" s="84" t="s">
        <v>234</v>
      </c>
      <c r="E14" s="84" t="s">
        <v>235</v>
      </c>
      <c r="F14" s="97"/>
      <c r="G14" s="97"/>
      <c r="H14" s="97"/>
      <c r="I14" s="97"/>
      <c r="J14" s="97"/>
      <c r="K14" s="97"/>
    </row>
    <row r="15" spans="1:11" ht="14.25" customHeight="1">
      <c r="A15" s="97"/>
      <c r="B15" s="32">
        <v>9</v>
      </c>
      <c r="C15" s="18" t="s">
        <v>236</v>
      </c>
      <c r="D15" s="84" t="s">
        <v>237</v>
      </c>
      <c r="E15" s="84" t="s">
        <v>238</v>
      </c>
      <c r="F15" s="97"/>
      <c r="G15" s="97"/>
      <c r="H15" s="97"/>
      <c r="I15" s="97"/>
      <c r="J15" s="97"/>
      <c r="K15" s="97"/>
    </row>
    <row r="16" spans="1:11" ht="14.25" customHeight="1">
      <c r="A16" s="97"/>
      <c r="B16" s="81">
        <v>10</v>
      </c>
      <c r="C16" s="33" t="s">
        <v>239</v>
      </c>
      <c r="D16" s="84" t="s">
        <v>238</v>
      </c>
      <c r="E16" s="84" t="s">
        <v>240</v>
      </c>
      <c r="F16" s="97"/>
      <c r="G16" s="97"/>
      <c r="H16" s="97"/>
      <c r="I16" s="97"/>
      <c r="J16" s="97"/>
      <c r="K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K1"/>
    <mergeCell ref="D5:E5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showGridLines="0" workbookViewId="0">
      <selection activeCell="G7" sqref="G7"/>
    </sheetView>
  </sheetViews>
  <sheetFormatPr defaultColWidth="14.42578125" defaultRowHeight="15" customHeight="1"/>
  <cols>
    <col min="1" max="1" width="8.7109375" customWidth="1"/>
    <col min="2" max="2" width="15.28515625" bestFit="1" customWidth="1"/>
    <col min="3" max="3" width="23.28515625" bestFit="1" customWidth="1"/>
    <col min="4" max="4" width="21.5703125" bestFit="1" customWidth="1"/>
    <col min="5" max="5" width="56" bestFit="1" customWidth="1"/>
    <col min="6" max="26" width="8.7109375" customWidth="1"/>
  </cols>
  <sheetData>
    <row r="1" spans="1:9" ht="14.25" customHeight="1">
      <c r="A1" s="104" t="s">
        <v>241</v>
      </c>
      <c r="B1" s="104"/>
      <c r="C1" s="104"/>
      <c r="D1" s="104"/>
      <c r="E1" s="104"/>
      <c r="F1" s="104"/>
      <c r="G1" s="104"/>
      <c r="H1" s="104"/>
      <c r="I1" s="104"/>
    </row>
    <row r="2" spans="1:9" ht="14.25" customHeight="1">
      <c r="A2" s="97"/>
      <c r="B2" s="97"/>
      <c r="C2" s="97"/>
      <c r="D2" s="97"/>
      <c r="E2" s="97"/>
      <c r="F2" s="97"/>
      <c r="G2" s="97"/>
      <c r="H2" s="97"/>
      <c r="I2" s="97"/>
    </row>
    <row r="3" spans="1:9" ht="14.25" customHeight="1">
      <c r="A3" s="97"/>
      <c r="B3" s="109" t="s">
        <v>205</v>
      </c>
      <c r="C3" s="110"/>
      <c r="D3" s="110"/>
      <c r="E3" s="111"/>
      <c r="F3" s="97"/>
      <c r="G3" s="97"/>
      <c r="H3" s="97"/>
      <c r="I3" s="97"/>
    </row>
    <row r="4" spans="1:9" ht="14.25" customHeight="1">
      <c r="A4" s="97"/>
      <c r="B4" s="29" t="s">
        <v>242</v>
      </c>
      <c r="C4" s="29" t="s">
        <v>123</v>
      </c>
      <c r="D4" s="29" t="s">
        <v>126</v>
      </c>
      <c r="E4" s="34" t="s">
        <v>243</v>
      </c>
      <c r="F4" s="97"/>
      <c r="G4" s="97"/>
      <c r="H4" s="97"/>
      <c r="I4" s="97"/>
    </row>
    <row r="5" spans="1:9" ht="14.25" customHeight="1">
      <c r="A5" s="97"/>
      <c r="B5" s="37" t="s">
        <v>129</v>
      </c>
      <c r="C5" s="37" t="s">
        <v>130</v>
      </c>
      <c r="D5" s="37" t="s">
        <v>170</v>
      </c>
      <c r="E5" s="39" t="s">
        <v>244</v>
      </c>
      <c r="F5" s="97"/>
      <c r="G5" s="97"/>
      <c r="H5" s="97"/>
      <c r="I5" s="97"/>
    </row>
    <row r="6" spans="1:9" ht="14.25" customHeight="1">
      <c r="A6" s="97"/>
      <c r="B6" s="97"/>
      <c r="C6" s="97"/>
      <c r="D6" s="97"/>
      <c r="E6" s="97"/>
      <c r="F6" s="97"/>
      <c r="G6" s="97"/>
      <c r="H6" s="97"/>
      <c r="I6" s="97"/>
    </row>
    <row r="7" spans="1:9" ht="14.25" customHeight="1">
      <c r="A7" s="97"/>
      <c r="B7" s="40" t="s">
        <v>242</v>
      </c>
      <c r="C7" s="41" t="s">
        <v>123</v>
      </c>
      <c r="D7" s="41" t="s">
        <v>126</v>
      </c>
      <c r="E7" s="42" t="s">
        <v>243</v>
      </c>
      <c r="F7" s="97"/>
      <c r="G7" s="97"/>
      <c r="H7" s="97"/>
      <c r="I7" s="97"/>
    </row>
    <row r="8" spans="1:9" ht="14.25" customHeight="1">
      <c r="A8" s="97"/>
      <c r="B8" s="22" t="s">
        <v>129</v>
      </c>
      <c r="C8" s="18" t="s">
        <v>130</v>
      </c>
      <c r="D8" s="18" t="s">
        <v>170</v>
      </c>
      <c r="E8" s="43" t="str">
        <f>CONCATENATE(B8,"/",C8,"/",D8,"/")</f>
        <v>Hardware/Damaged-Malfunctioned/Printer/</v>
      </c>
      <c r="F8" s="97"/>
      <c r="G8" s="97"/>
      <c r="H8" s="97"/>
      <c r="I8" s="97"/>
    </row>
    <row r="9" spans="1:9" ht="14.25" customHeight="1">
      <c r="A9" s="97"/>
      <c r="B9" s="22" t="s">
        <v>129</v>
      </c>
      <c r="C9" s="18" t="s">
        <v>132</v>
      </c>
      <c r="D9" s="18" t="s">
        <v>245</v>
      </c>
      <c r="E9" s="43" t="str">
        <f t="shared" ref="E9:E16" si="0">CONCATENATE(B9,"/",C9,"/",D9,"/")</f>
        <v>Hardware/Complete System/Return to Inventory/</v>
      </c>
      <c r="F9" s="97"/>
      <c r="G9" s="97"/>
      <c r="H9" s="97"/>
      <c r="I9" s="97"/>
    </row>
    <row r="10" spans="1:9" ht="14.25" customHeight="1">
      <c r="A10" s="97"/>
      <c r="B10" s="22" t="s">
        <v>129</v>
      </c>
      <c r="C10" s="18" t="s">
        <v>134</v>
      </c>
      <c r="D10" s="18" t="s">
        <v>147</v>
      </c>
      <c r="E10" s="43" t="str">
        <f t="shared" si="0"/>
        <v>Hardware/Usage/iPad/</v>
      </c>
      <c r="F10" s="97"/>
      <c r="G10" s="97"/>
      <c r="H10" s="97"/>
      <c r="I10" s="97"/>
    </row>
    <row r="11" spans="1:9" ht="14.25" customHeight="1">
      <c r="A11" s="97"/>
      <c r="B11" s="22" t="s">
        <v>136</v>
      </c>
      <c r="C11" s="18" t="s">
        <v>137</v>
      </c>
      <c r="D11" s="18" t="s">
        <v>246</v>
      </c>
      <c r="E11" s="43" t="str">
        <f t="shared" si="0"/>
        <v>Off the Shelf/Windows 7/Logon/</v>
      </c>
      <c r="F11" s="97"/>
      <c r="G11" s="97"/>
      <c r="H11" s="97"/>
      <c r="I11" s="97"/>
    </row>
    <row r="12" spans="1:9" ht="14.25" customHeight="1">
      <c r="A12" s="97"/>
      <c r="B12" s="22" t="s">
        <v>247</v>
      </c>
      <c r="C12" s="18" t="s">
        <v>139</v>
      </c>
      <c r="D12" s="18" t="s">
        <v>248</v>
      </c>
      <c r="E12" s="43" t="str">
        <f t="shared" si="0"/>
        <v xml:space="preserve"> No Area Given / No Sub Area Given / No SubSubArea Given /</v>
      </c>
      <c r="F12" s="97"/>
      <c r="G12" s="97"/>
      <c r="H12" s="97"/>
      <c r="I12" s="97"/>
    </row>
    <row r="13" spans="1:9" ht="14.25" customHeight="1">
      <c r="A13" s="97"/>
      <c r="B13" s="22" t="s">
        <v>141</v>
      </c>
      <c r="C13" s="18" t="s">
        <v>142</v>
      </c>
      <c r="D13" s="18" t="s">
        <v>249</v>
      </c>
      <c r="E13" s="43" t="str">
        <f t="shared" si="0"/>
        <v>iPad - Hardware/Lost/Stolen/Miscellaneous Items/</v>
      </c>
      <c r="F13" s="97"/>
      <c r="G13" s="97"/>
      <c r="H13" s="97"/>
      <c r="I13" s="97"/>
    </row>
    <row r="14" spans="1:9" ht="14.25" customHeight="1">
      <c r="A14" s="97"/>
      <c r="B14" s="22" t="s">
        <v>143</v>
      </c>
      <c r="C14" s="18" t="s">
        <v>144</v>
      </c>
      <c r="D14" s="18" t="s">
        <v>250</v>
      </c>
      <c r="E14" s="43" t="str">
        <f t="shared" si="0"/>
        <v>Veeva/Calls/Missing/</v>
      </c>
      <c r="F14" s="97"/>
      <c r="G14" s="97"/>
      <c r="H14" s="97"/>
      <c r="I14" s="97"/>
    </row>
    <row r="15" spans="1:9" ht="14.25" customHeight="1">
      <c r="A15" s="97"/>
      <c r="B15" s="22" t="s">
        <v>141</v>
      </c>
      <c r="C15" s="18" t="s">
        <v>146</v>
      </c>
      <c r="D15" s="18" t="s">
        <v>147</v>
      </c>
      <c r="E15" s="43" t="str">
        <f t="shared" si="0"/>
        <v>iPad - Hardware/Request/iPad/</v>
      </c>
      <c r="F15" s="97"/>
      <c r="G15" s="97"/>
      <c r="H15" s="97"/>
      <c r="I15" s="97"/>
    </row>
    <row r="16" spans="1:9" ht="14.25" customHeight="1">
      <c r="A16" s="97"/>
      <c r="B16" s="46" t="s">
        <v>143</v>
      </c>
      <c r="C16" s="33" t="s">
        <v>144</v>
      </c>
      <c r="D16" s="33" t="s">
        <v>251</v>
      </c>
      <c r="E16" s="43" t="str">
        <f t="shared" si="0"/>
        <v>Veeva/Calls/Expenses/</v>
      </c>
      <c r="F16" s="97"/>
      <c r="G16" s="97"/>
      <c r="H16" s="97"/>
      <c r="I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B3:E3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1000"/>
  <sheetViews>
    <sheetView showGridLines="0" workbookViewId="0">
      <selection activeCell="G16" sqref="G16:G17"/>
    </sheetView>
  </sheetViews>
  <sheetFormatPr defaultColWidth="14.42578125" defaultRowHeight="15" customHeight="1"/>
  <cols>
    <col min="1" max="1" width="8.7109375" customWidth="1"/>
    <col min="2" max="2" width="28.28515625" customWidth="1"/>
    <col min="3" max="4" width="8.7109375" customWidth="1"/>
    <col min="5" max="5" width="17.7109375" customWidth="1"/>
    <col min="6" max="26" width="8.7109375" customWidth="1"/>
  </cols>
  <sheetData>
    <row r="1" spans="2:18" ht="14.25" customHeight="1">
      <c r="B1" s="112" t="s">
        <v>252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2:18" ht="14.25" customHeight="1"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2:18" ht="14.25" customHeight="1">
      <c r="B3" s="34" t="s">
        <v>122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</row>
    <row r="4" spans="2:18" ht="14.25" customHeight="1">
      <c r="B4" s="34" t="s">
        <v>253</v>
      </c>
      <c r="C4" s="97"/>
      <c r="D4" s="97"/>
      <c r="E4" s="35" t="s">
        <v>254</v>
      </c>
      <c r="F4" s="36">
        <f>COUNT(B5:B27)</f>
        <v>1</v>
      </c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2:18" ht="14.25" customHeight="1">
      <c r="B5" s="38" t="s">
        <v>255</v>
      </c>
      <c r="C5" s="97"/>
      <c r="D5" s="97"/>
      <c r="E5" s="35" t="s">
        <v>256</v>
      </c>
      <c r="F5" s="36">
        <f>COUNTBLANK(B5:B27)</f>
        <v>3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</row>
    <row r="6" spans="2:18" ht="14.25" customHeight="1">
      <c r="B6" s="38">
        <v>25458</v>
      </c>
      <c r="C6" s="97"/>
      <c r="D6" s="97"/>
      <c r="E6" s="35" t="s">
        <v>257</v>
      </c>
      <c r="F6" s="36">
        <f>COUNTA(B5:B27)</f>
        <v>20</v>
      </c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</row>
    <row r="7" spans="2:18" ht="14.25" customHeight="1">
      <c r="B7" s="38" t="s">
        <v>258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</row>
    <row r="8" spans="2:18" ht="14.25" customHeight="1">
      <c r="B8" s="38" t="s">
        <v>259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</row>
    <row r="9" spans="2:18" ht="14.25" customHeight="1">
      <c r="B9" s="38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</row>
    <row r="10" spans="2:18" ht="14.25" customHeight="1">
      <c r="B10" s="38" t="s">
        <v>260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</row>
    <row r="11" spans="2:18" ht="14.25" customHeight="1">
      <c r="B11" s="38" t="s">
        <v>261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2:18" ht="14.25" customHeight="1">
      <c r="B12" s="38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</row>
    <row r="13" spans="2:18" ht="14.25" customHeight="1">
      <c r="B13" s="38" t="s">
        <v>262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</row>
    <row r="14" spans="2:18" ht="14.25" customHeight="1">
      <c r="B14" s="38" t="s">
        <v>263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</row>
    <row r="15" spans="2:18" ht="14.25" customHeight="1">
      <c r="B15" s="38" t="s">
        <v>263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</row>
    <row r="16" spans="2:18" ht="14.25" customHeight="1">
      <c r="B16" s="38" t="s">
        <v>264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</row>
    <row r="17" spans="2:2" ht="14.25" customHeight="1">
      <c r="B17" s="38" t="s">
        <v>265</v>
      </c>
    </row>
    <row r="18" spans="2:2" ht="14.25" customHeight="1">
      <c r="B18" s="38" t="s">
        <v>266</v>
      </c>
    </row>
    <row r="19" spans="2:2" ht="14.25" customHeight="1">
      <c r="B19" s="38" t="s">
        <v>267</v>
      </c>
    </row>
    <row r="20" spans="2:2" ht="14.25" customHeight="1">
      <c r="B20" s="38" t="s">
        <v>268</v>
      </c>
    </row>
    <row r="21" spans="2:2" ht="14.25" customHeight="1">
      <c r="B21" s="38" t="s">
        <v>269</v>
      </c>
    </row>
    <row r="22" spans="2:2" ht="14.25" customHeight="1">
      <c r="B22" s="38" t="s">
        <v>270</v>
      </c>
    </row>
    <row r="23" spans="2:2" ht="14.25" customHeight="1">
      <c r="B23" s="38" t="s">
        <v>271</v>
      </c>
    </row>
    <row r="24" spans="2:2" ht="14.25" customHeight="1">
      <c r="B24" s="38" t="s">
        <v>272</v>
      </c>
    </row>
    <row r="25" spans="2:2" ht="14.25" customHeight="1">
      <c r="B25" s="38"/>
    </row>
    <row r="26" spans="2:2" ht="14.25" customHeight="1">
      <c r="B26" s="38" t="s">
        <v>273</v>
      </c>
    </row>
    <row r="27" spans="2:2" ht="14.25" customHeight="1">
      <c r="B27" s="38" t="s">
        <v>274</v>
      </c>
    </row>
    <row r="28" spans="2:2" ht="14.25" customHeight="1">
      <c r="B28" s="97"/>
    </row>
    <row r="29" spans="2:2" ht="14.25" customHeight="1">
      <c r="B29" s="97"/>
    </row>
    <row r="30" spans="2:2" ht="14.25" customHeight="1">
      <c r="B30" s="97"/>
    </row>
    <row r="31" spans="2:2" ht="14.25" customHeight="1">
      <c r="B31" s="97"/>
    </row>
    <row r="32" spans="2:2" ht="14.25" customHeight="1">
      <c r="B32" s="9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R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showGridLines="0" workbookViewId="0">
      <selection activeCell="H16" sqref="H16"/>
    </sheetView>
  </sheetViews>
  <sheetFormatPr defaultColWidth="14.42578125" defaultRowHeight="15" customHeight="1"/>
  <cols>
    <col min="1" max="1" width="9.85546875" customWidth="1"/>
    <col min="2" max="2" width="39.28515625" customWidth="1"/>
    <col min="3" max="3" width="9.85546875" customWidth="1"/>
    <col min="4" max="4" width="11.140625" customWidth="1"/>
    <col min="5" max="5" width="40.140625" customWidth="1"/>
    <col min="6" max="6" width="8.7109375" customWidth="1"/>
    <col min="7" max="7" width="15.140625" customWidth="1"/>
    <col min="8" max="8" width="34.5703125" bestFit="1" customWidth="1"/>
    <col min="9" max="9" width="43.28515625" bestFit="1" customWidth="1"/>
    <col min="10" max="26" width="8.7109375" customWidth="1"/>
  </cols>
  <sheetData>
    <row r="1" spans="1:10" ht="14.25" customHeight="1">
      <c r="A1" s="104" t="s">
        <v>275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 ht="14.25" customHeight="1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t="14.25" customHeight="1">
      <c r="A3" s="108" t="s">
        <v>276</v>
      </c>
      <c r="B3" s="106"/>
      <c r="C3" s="106"/>
      <c r="D3" s="106"/>
      <c r="E3" s="107"/>
      <c r="F3" s="97"/>
      <c r="G3" s="105" t="s">
        <v>277</v>
      </c>
      <c r="H3" s="106"/>
      <c r="I3" s="107"/>
      <c r="J3" s="97"/>
    </row>
    <row r="4" spans="1:10" ht="14.25" customHeight="1">
      <c r="A4" s="7" t="s">
        <v>278</v>
      </c>
      <c r="B4" s="12" t="s">
        <v>109</v>
      </c>
      <c r="C4" s="12" t="s">
        <v>279</v>
      </c>
      <c r="D4" s="12" t="s">
        <v>280</v>
      </c>
      <c r="E4" s="47" t="s">
        <v>281</v>
      </c>
      <c r="F4" s="97"/>
      <c r="G4" s="7" t="s">
        <v>278</v>
      </c>
      <c r="H4" s="8" t="s">
        <v>109</v>
      </c>
      <c r="I4" s="10" t="s">
        <v>281</v>
      </c>
      <c r="J4" s="97"/>
    </row>
    <row r="5" spans="1:10" ht="14.25" customHeight="1">
      <c r="A5" s="9">
        <v>392730219</v>
      </c>
      <c r="B5" s="80" t="s">
        <v>282</v>
      </c>
      <c r="C5" s="80">
        <v>500000</v>
      </c>
      <c r="D5" s="80" t="s">
        <v>283</v>
      </c>
      <c r="E5" s="48" t="s">
        <v>284</v>
      </c>
      <c r="F5" s="97"/>
      <c r="G5" s="49">
        <v>392733634</v>
      </c>
      <c r="H5" s="50" t="str">
        <f>VLOOKUP(G5,$A$4:$E$25,2,FALSE)</f>
        <v>BURJOR HOMI DANDIWALA PMS</v>
      </c>
      <c r="I5" s="50" t="str">
        <f>VLOOKUP(G5,$A$5:$E$25,5,FALSE)</f>
        <v>DIRECT</v>
      </c>
      <c r="J5" s="97"/>
    </row>
    <row r="6" spans="1:10" ht="14.25" customHeight="1">
      <c r="A6" s="13">
        <v>392730227</v>
      </c>
      <c r="B6" s="18" t="s">
        <v>285</v>
      </c>
      <c r="C6" s="18">
        <v>500000</v>
      </c>
      <c r="D6" s="18" t="s">
        <v>283</v>
      </c>
      <c r="E6" s="51" t="s">
        <v>284</v>
      </c>
      <c r="F6" s="97"/>
      <c r="G6" s="13">
        <v>392733679</v>
      </c>
      <c r="H6" s="50" t="str">
        <f t="shared" ref="H6:H10" si="0">VLOOKUP(G6,$A$4:$E$25,2,FALSE)</f>
        <v>MS.RAJANI KRISHNAMURTHY IYER</v>
      </c>
      <c r="I6" s="50" t="str">
        <f t="shared" ref="I6:I10" si="1">VLOOKUP(G6,$A$5:$E$25,5,FALSE)</f>
        <v>DIRECT</v>
      </c>
      <c r="J6" s="97"/>
    </row>
    <row r="7" spans="1:10" ht="14.25" customHeight="1">
      <c r="A7" s="13">
        <v>392730235</v>
      </c>
      <c r="B7" s="18" t="s">
        <v>286</v>
      </c>
      <c r="C7" s="18">
        <v>500000</v>
      </c>
      <c r="D7" s="18" t="s">
        <v>283</v>
      </c>
      <c r="E7" s="51" t="s">
        <v>284</v>
      </c>
      <c r="F7" s="97"/>
      <c r="G7" s="13">
        <v>392734113</v>
      </c>
      <c r="H7" s="50" t="str">
        <f t="shared" si="0"/>
        <v>LAXMI J MUNDKUR</v>
      </c>
      <c r="I7" s="50" t="str">
        <f t="shared" si="1"/>
        <v>RAMESH BISWAS M</v>
      </c>
      <c r="J7" s="97"/>
    </row>
    <row r="8" spans="1:10" ht="14.25" customHeight="1">
      <c r="A8" s="13">
        <v>392733499</v>
      </c>
      <c r="B8" s="18" t="s">
        <v>287</v>
      </c>
      <c r="C8" s="18">
        <v>1600000</v>
      </c>
      <c r="D8" s="18" t="s">
        <v>288</v>
      </c>
      <c r="E8" s="51" t="s">
        <v>289</v>
      </c>
      <c r="F8" s="97"/>
      <c r="G8" s="13">
        <v>392734156</v>
      </c>
      <c r="H8" s="50" t="str">
        <f t="shared" si="0"/>
        <v>D S INTEGRATED FINSEC PVT LTD</v>
      </c>
      <c r="I8" s="50" t="str">
        <f t="shared" si="1"/>
        <v>SANJAY SHASHIKANTBHAI MEHTA</v>
      </c>
      <c r="J8" s="97"/>
    </row>
    <row r="9" spans="1:10" ht="14.25" customHeight="1">
      <c r="A9" s="13">
        <v>392733558</v>
      </c>
      <c r="B9" s="18" t="s">
        <v>290</v>
      </c>
      <c r="C9" s="18">
        <v>700000</v>
      </c>
      <c r="D9" s="18" t="s">
        <v>288</v>
      </c>
      <c r="E9" s="51" t="s">
        <v>289</v>
      </c>
      <c r="F9" s="97"/>
      <c r="G9" s="13">
        <v>392734595</v>
      </c>
      <c r="H9" s="50" t="str">
        <f t="shared" si="0"/>
        <v>RIDDHI SIDDHI GLUCO BIOLS LIMITED</v>
      </c>
      <c r="I9" s="50" t="str">
        <f t="shared" si="1"/>
        <v>DIRECT</v>
      </c>
      <c r="J9" s="97"/>
    </row>
    <row r="10" spans="1:10" ht="14.25" customHeight="1">
      <c r="A10" s="13">
        <v>392733634</v>
      </c>
      <c r="B10" s="18" t="s">
        <v>291</v>
      </c>
      <c r="C10" s="18">
        <v>800000</v>
      </c>
      <c r="D10" s="18" t="s">
        <v>288</v>
      </c>
      <c r="E10" s="51" t="s">
        <v>289</v>
      </c>
      <c r="F10" s="97"/>
      <c r="G10" s="52">
        <v>392730219</v>
      </c>
      <c r="H10" s="50" t="str">
        <f t="shared" si="0"/>
        <v>KEKI BURJORJI PATEL</v>
      </c>
      <c r="I10" s="50" t="str">
        <f t="shared" si="1"/>
        <v>IMPERIAL CAPITAL ADVISORS PRIVATE LIMITED</v>
      </c>
      <c r="J10" s="97"/>
    </row>
    <row r="11" spans="1:10" ht="14.25" customHeight="1">
      <c r="A11" s="13">
        <v>392733661</v>
      </c>
      <c r="B11" s="18" t="s">
        <v>292</v>
      </c>
      <c r="C11" s="18">
        <v>1300000</v>
      </c>
      <c r="D11" s="18" t="s">
        <v>288</v>
      </c>
      <c r="E11" s="51" t="s">
        <v>289</v>
      </c>
      <c r="F11" s="97"/>
      <c r="G11" s="97"/>
      <c r="H11" s="97"/>
      <c r="I11" s="97"/>
      <c r="J11" s="97"/>
    </row>
    <row r="12" spans="1:10" ht="14.25" customHeight="1">
      <c r="A12" s="13">
        <v>392733679</v>
      </c>
      <c r="B12" s="18" t="s">
        <v>293</v>
      </c>
      <c r="C12" s="18">
        <v>1300000</v>
      </c>
      <c r="D12" s="18" t="s">
        <v>288</v>
      </c>
      <c r="E12" s="51" t="s">
        <v>289</v>
      </c>
      <c r="F12" s="97"/>
      <c r="G12" s="97"/>
      <c r="H12" s="97"/>
      <c r="I12" s="97"/>
      <c r="J12" s="97"/>
    </row>
    <row r="13" spans="1:10" ht="14.25" customHeight="1">
      <c r="A13" s="13">
        <v>392733698</v>
      </c>
      <c r="B13" s="18" t="s">
        <v>294</v>
      </c>
      <c r="C13" s="18">
        <v>1500000</v>
      </c>
      <c r="D13" s="18" t="s">
        <v>288</v>
      </c>
      <c r="E13" s="51" t="s">
        <v>289</v>
      </c>
      <c r="F13" s="97"/>
      <c r="G13" s="97"/>
      <c r="H13" s="97"/>
      <c r="I13" s="97"/>
      <c r="J13" s="97"/>
    </row>
    <row r="14" spans="1:10" ht="14.25" customHeight="1">
      <c r="A14" s="13">
        <v>392734036</v>
      </c>
      <c r="B14" s="18" t="s">
        <v>295</v>
      </c>
      <c r="C14" s="18">
        <v>670000</v>
      </c>
      <c r="D14" s="18" t="s">
        <v>296</v>
      </c>
      <c r="E14" s="51" t="s">
        <v>297</v>
      </c>
      <c r="F14" s="97"/>
      <c r="G14" s="97"/>
      <c r="H14" s="97"/>
      <c r="I14" s="97"/>
      <c r="J14" s="97"/>
    </row>
    <row r="15" spans="1:10" ht="14.25" customHeight="1">
      <c r="A15" s="13">
        <v>392734045</v>
      </c>
      <c r="B15" s="18" t="s">
        <v>298</v>
      </c>
      <c r="C15" s="18">
        <v>50000</v>
      </c>
      <c r="D15" s="18" t="s">
        <v>299</v>
      </c>
      <c r="E15" s="51" t="s">
        <v>300</v>
      </c>
      <c r="F15" s="97"/>
      <c r="G15" s="97"/>
      <c r="H15" s="97"/>
      <c r="I15" s="97"/>
      <c r="J15" s="97"/>
    </row>
    <row r="16" spans="1:10" ht="14.25" customHeight="1">
      <c r="A16" s="13">
        <v>392734113</v>
      </c>
      <c r="B16" s="18" t="s">
        <v>301</v>
      </c>
      <c r="C16" s="18">
        <v>1000000</v>
      </c>
      <c r="D16" s="18" t="s">
        <v>302</v>
      </c>
      <c r="E16" s="51" t="s">
        <v>303</v>
      </c>
      <c r="F16" s="97"/>
      <c r="G16" s="97"/>
      <c r="H16" s="97"/>
      <c r="I16" s="97"/>
      <c r="J16" s="97"/>
    </row>
    <row r="17" spans="1:5" ht="14.25" customHeight="1">
      <c r="A17" s="13">
        <v>392734127</v>
      </c>
      <c r="B17" s="18" t="s">
        <v>304</v>
      </c>
      <c r="C17" s="18">
        <v>700000</v>
      </c>
      <c r="D17" s="18" t="s">
        <v>305</v>
      </c>
      <c r="E17" s="51"/>
    </row>
    <row r="18" spans="1:5" ht="14.25" customHeight="1">
      <c r="A18" s="13">
        <v>392734141</v>
      </c>
      <c r="B18" s="18" t="s">
        <v>306</v>
      </c>
      <c r="C18" s="18">
        <v>1500000</v>
      </c>
      <c r="D18" s="18" t="s">
        <v>307</v>
      </c>
      <c r="E18" s="51" t="s">
        <v>308</v>
      </c>
    </row>
    <row r="19" spans="1:5" ht="14.25" customHeight="1">
      <c r="A19" s="13">
        <v>392734156</v>
      </c>
      <c r="B19" s="18" t="s">
        <v>309</v>
      </c>
      <c r="C19" s="18">
        <v>4300000</v>
      </c>
      <c r="D19" s="18" t="s">
        <v>310</v>
      </c>
      <c r="E19" s="51" t="s">
        <v>311</v>
      </c>
    </row>
    <row r="20" spans="1:5" ht="14.25" customHeight="1">
      <c r="A20" s="13">
        <v>392734178</v>
      </c>
      <c r="B20" s="18" t="s">
        <v>312</v>
      </c>
      <c r="C20" s="18">
        <v>5700000</v>
      </c>
      <c r="D20" s="18" t="s">
        <v>310</v>
      </c>
      <c r="E20" s="51" t="s">
        <v>311</v>
      </c>
    </row>
    <row r="21" spans="1:5" ht="14.25" customHeight="1">
      <c r="A21" s="13">
        <v>392734208</v>
      </c>
      <c r="B21" s="18" t="s">
        <v>313</v>
      </c>
      <c r="C21" s="18">
        <v>500000000</v>
      </c>
      <c r="D21" s="18" t="s">
        <v>288</v>
      </c>
      <c r="E21" s="51" t="s">
        <v>289</v>
      </c>
    </row>
    <row r="22" spans="1:5" ht="14.25" customHeight="1">
      <c r="A22" s="13">
        <v>392734394</v>
      </c>
      <c r="B22" s="18" t="s">
        <v>314</v>
      </c>
      <c r="C22" s="18">
        <v>4000000</v>
      </c>
      <c r="D22" s="18" t="s">
        <v>315</v>
      </c>
      <c r="E22" s="51" t="s">
        <v>316</v>
      </c>
    </row>
    <row r="23" spans="1:5" ht="14.25" customHeight="1">
      <c r="A23" s="13">
        <v>392734485</v>
      </c>
      <c r="B23" s="18" t="s">
        <v>317</v>
      </c>
      <c r="C23" s="18">
        <v>80000000</v>
      </c>
      <c r="D23" s="18" t="s">
        <v>318</v>
      </c>
      <c r="E23" s="51" t="s">
        <v>319</v>
      </c>
    </row>
    <row r="24" spans="1:5" ht="14.25" customHeight="1">
      <c r="A24" s="13">
        <v>392734501</v>
      </c>
      <c r="B24" s="18" t="s">
        <v>317</v>
      </c>
      <c r="C24" s="18">
        <v>20000000</v>
      </c>
      <c r="D24" s="18" t="s">
        <v>318</v>
      </c>
      <c r="E24" s="51" t="s">
        <v>319</v>
      </c>
    </row>
    <row r="25" spans="1:5" ht="14.25" customHeight="1">
      <c r="A25" s="13">
        <v>392734595</v>
      </c>
      <c r="B25" s="18" t="s">
        <v>320</v>
      </c>
      <c r="C25" s="18">
        <v>10000000</v>
      </c>
      <c r="D25" s="18" t="s">
        <v>288</v>
      </c>
      <c r="E25" s="51" t="s">
        <v>289</v>
      </c>
    </row>
    <row r="26" spans="1:5" ht="14.25" customHeight="1">
      <c r="A26" s="97"/>
      <c r="B26" s="97"/>
      <c r="C26" s="97"/>
      <c r="D26" s="97"/>
      <c r="E26" s="97"/>
    </row>
    <row r="27" spans="1:5" ht="14.25" customHeight="1">
      <c r="A27" s="97"/>
      <c r="B27" s="97"/>
      <c r="C27" s="97"/>
      <c r="D27" s="97"/>
      <c r="E27" s="97"/>
    </row>
    <row r="28" spans="1:5" ht="14.25" customHeight="1">
      <c r="A28" s="97"/>
      <c r="B28" s="97"/>
      <c r="C28" s="97"/>
      <c r="D28" s="97"/>
      <c r="E28" s="97"/>
    </row>
    <row r="29" spans="1:5" ht="14.25" customHeight="1">
      <c r="A29" s="97"/>
      <c r="B29" s="97"/>
      <c r="C29" s="97"/>
      <c r="D29" s="97"/>
      <c r="E29" s="97"/>
    </row>
    <row r="30" spans="1:5" ht="14.25" customHeight="1">
      <c r="A30" s="97"/>
      <c r="B30" s="97"/>
      <c r="C30" s="97"/>
      <c r="D30" s="97"/>
      <c r="E30" s="97"/>
    </row>
    <row r="31" spans="1:5" ht="14.25" customHeight="1">
      <c r="A31" s="97"/>
      <c r="B31" s="97"/>
      <c r="C31" s="97"/>
      <c r="D31" s="97"/>
      <c r="E31" s="97"/>
    </row>
    <row r="32" spans="1:5" ht="14.25" customHeight="1">
      <c r="A32" s="97"/>
      <c r="B32" s="97"/>
      <c r="C32" s="97"/>
      <c r="D32" s="97"/>
      <c r="E32" s="9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J1"/>
    <mergeCell ref="A3:E3"/>
    <mergeCell ref="G3:I3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>
      <selection activeCell="F20" sqref="F20"/>
    </sheetView>
  </sheetViews>
  <sheetFormatPr defaultColWidth="14.42578125" defaultRowHeight="15" customHeight="1"/>
  <cols>
    <col min="1" max="1" width="8.7109375" customWidth="1"/>
    <col min="2" max="2" width="17.28515625" customWidth="1"/>
    <col min="3" max="3" width="19.28515625" customWidth="1"/>
    <col min="4" max="4" width="18.28515625" customWidth="1"/>
    <col min="5" max="5" width="15.7109375" customWidth="1"/>
    <col min="6" max="26" width="8.7109375" customWidth="1"/>
  </cols>
  <sheetData>
    <row r="1" spans="1:7" ht="14.25" customHeight="1">
      <c r="A1" s="104" t="s">
        <v>321</v>
      </c>
      <c r="B1" s="100"/>
      <c r="C1" s="100"/>
      <c r="D1" s="100"/>
      <c r="E1" s="100"/>
      <c r="F1" s="100"/>
      <c r="G1" s="100"/>
    </row>
    <row r="2" spans="1:7" ht="14.25" customHeight="1">
      <c r="A2" s="97"/>
      <c r="B2" s="97"/>
      <c r="C2" s="97"/>
      <c r="D2" s="97"/>
      <c r="E2" s="97"/>
      <c r="F2" s="97"/>
      <c r="G2" s="97"/>
    </row>
    <row r="3" spans="1:7" ht="14.25" customHeight="1">
      <c r="A3" s="97"/>
      <c r="B3" s="53" t="s">
        <v>322</v>
      </c>
      <c r="C3" s="97"/>
      <c r="D3" s="54" t="s">
        <v>189</v>
      </c>
      <c r="E3" s="97"/>
      <c r="F3" s="97"/>
      <c r="G3" s="97"/>
    </row>
    <row r="4" spans="1:7" ht="14.25" customHeight="1">
      <c r="A4" s="97"/>
      <c r="B4" s="55" t="s">
        <v>149</v>
      </c>
      <c r="C4" s="97"/>
      <c r="D4" s="97"/>
      <c r="E4" s="97"/>
      <c r="F4" s="97"/>
      <c r="G4" s="97"/>
    </row>
    <row r="5" spans="1:7" ht="14.25" customHeight="1">
      <c r="A5" s="97"/>
      <c r="B5" s="55" t="s">
        <v>194</v>
      </c>
      <c r="C5" s="97"/>
      <c r="D5" s="97"/>
      <c r="E5" s="97"/>
      <c r="F5" s="97"/>
      <c r="G5" s="97"/>
    </row>
    <row r="6" spans="1:7" ht="14.25" customHeight="1">
      <c r="A6" s="97"/>
      <c r="B6" s="55" t="s">
        <v>191</v>
      </c>
      <c r="C6" s="97"/>
      <c r="D6" s="97"/>
      <c r="E6" s="97"/>
      <c r="F6" s="97"/>
      <c r="G6" s="97"/>
    </row>
    <row r="7" spans="1:7" ht="14.25" customHeight="1">
      <c r="A7" s="97"/>
      <c r="B7" s="55" t="s">
        <v>144</v>
      </c>
      <c r="C7" s="97"/>
      <c r="D7" s="97"/>
      <c r="E7" s="97"/>
      <c r="F7" s="97"/>
      <c r="G7" s="97"/>
    </row>
    <row r="8" spans="1:7" ht="14.25" customHeight="1">
      <c r="A8" s="97"/>
      <c r="B8" s="55" t="s">
        <v>200</v>
      </c>
      <c r="C8" s="97"/>
      <c r="D8" s="97"/>
      <c r="E8" s="97"/>
      <c r="F8" s="97"/>
      <c r="G8" s="97"/>
    </row>
    <row r="9" spans="1:7" ht="14.25" customHeight="1">
      <c r="A9" s="97"/>
      <c r="B9" s="55" t="s">
        <v>193</v>
      </c>
      <c r="C9" s="97"/>
      <c r="D9" s="97"/>
      <c r="E9" s="97"/>
      <c r="F9" s="97"/>
      <c r="G9" s="97"/>
    </row>
    <row r="10" spans="1:7" ht="14.25" customHeight="1">
      <c r="A10" s="97"/>
      <c r="B10" s="55" t="s">
        <v>164</v>
      </c>
      <c r="C10" s="97"/>
      <c r="D10" s="97"/>
      <c r="E10" s="97"/>
      <c r="F10" s="97"/>
      <c r="G10" s="97"/>
    </row>
    <row r="11" spans="1:7" ht="14.25" customHeight="1">
      <c r="A11" s="97"/>
      <c r="B11" s="55" t="s">
        <v>168</v>
      </c>
      <c r="C11" s="97"/>
      <c r="D11" s="97"/>
      <c r="E11" s="97"/>
      <c r="F11" s="97"/>
      <c r="G11" s="97"/>
    </row>
    <row r="12" spans="1:7" ht="14.25" customHeight="1">
      <c r="A12" s="97"/>
      <c r="B12" s="55" t="s">
        <v>154</v>
      </c>
      <c r="C12" s="97"/>
      <c r="D12" s="97"/>
      <c r="E12" s="97"/>
      <c r="F12" s="97"/>
      <c r="G12" s="97"/>
    </row>
    <row r="13" spans="1:7" ht="14.25" customHeight="1">
      <c r="A13" s="97"/>
      <c r="B13" s="55" t="s">
        <v>198</v>
      </c>
      <c r="C13" s="97"/>
      <c r="D13" s="97"/>
      <c r="E13" s="97"/>
      <c r="F13" s="97"/>
      <c r="G13" s="97"/>
    </row>
    <row r="14" spans="1:7" ht="14.25" customHeight="1">
      <c r="A14" s="97"/>
      <c r="B14" s="55" t="s">
        <v>177</v>
      </c>
      <c r="C14" s="97"/>
      <c r="D14" s="97"/>
      <c r="E14" s="97"/>
      <c r="F14" s="97"/>
      <c r="G14" s="97"/>
    </row>
    <row r="15" spans="1:7" ht="14.25" customHeight="1">
      <c r="A15" s="97"/>
      <c r="B15" s="55" t="s">
        <v>189</v>
      </c>
      <c r="C15" s="97"/>
      <c r="D15" s="97"/>
      <c r="E15" s="97"/>
      <c r="F15" s="97"/>
      <c r="G15" s="97"/>
    </row>
    <row r="16" spans="1:7" ht="14.25" customHeight="1">
      <c r="A16" s="97"/>
      <c r="B16" s="55" t="s">
        <v>163</v>
      </c>
      <c r="C16" s="97"/>
      <c r="D16" s="97"/>
      <c r="E16" s="97"/>
      <c r="F16" s="97"/>
      <c r="G16" s="97"/>
    </row>
    <row r="17" spans="2:2" ht="14.25" customHeight="1">
      <c r="B17" s="55" t="s">
        <v>162</v>
      </c>
    </row>
    <row r="18" spans="2:2" ht="14.25" customHeight="1">
      <c r="B18" s="55" t="s">
        <v>197</v>
      </c>
    </row>
    <row r="19" spans="2:2" ht="14.25" customHeight="1">
      <c r="B19" s="55" t="s">
        <v>188</v>
      </c>
    </row>
    <row r="20" spans="2:2" ht="14.25" customHeight="1">
      <c r="B20" s="56" t="s">
        <v>195</v>
      </c>
    </row>
    <row r="21" spans="2:2" ht="14.25" customHeight="1">
      <c r="B21" s="97"/>
    </row>
    <row r="22" spans="2:2" ht="14.25" customHeight="1">
      <c r="B22" s="97"/>
    </row>
    <row r="23" spans="2:2" ht="14.25" customHeight="1">
      <c r="B23" s="97"/>
    </row>
    <row r="24" spans="2:2" ht="14.25" customHeight="1">
      <c r="B24" s="97"/>
    </row>
    <row r="25" spans="2:2" ht="14.25" customHeight="1">
      <c r="B25" s="97"/>
    </row>
    <row r="26" spans="2:2" ht="14.25" customHeight="1">
      <c r="B26" s="97"/>
    </row>
    <row r="27" spans="2:2" ht="14.25" customHeight="1">
      <c r="B27" s="97"/>
    </row>
    <row r="28" spans="2:2" ht="14.25" customHeight="1">
      <c r="B28" s="97"/>
    </row>
    <row r="29" spans="2:2" ht="14.25" customHeight="1">
      <c r="B29" s="97"/>
    </row>
    <row r="30" spans="2:2" ht="14.25" customHeight="1">
      <c r="B30" s="97"/>
    </row>
    <row r="31" spans="2:2" ht="14.25" customHeight="1">
      <c r="B31" s="97"/>
    </row>
    <row r="32" spans="2:2" ht="14.25" customHeight="1">
      <c r="B32" s="9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dataValidations count="2">
    <dataValidation allowBlank="1" showInputMessage="1" showErrorMessage="1" sqref="B3:B20" xr:uid="{C9D04101-C211-4CD4-9D99-131E9678D7F7}"/>
    <dataValidation type="list" allowBlank="1" showInputMessage="1" showErrorMessage="1" sqref="O16 D3" xr:uid="{636227CD-40D7-4F82-A5ED-5857B605CF5F}">
      <formula1>$B$4:$B$20</formula1>
    </dataValidation>
  </dataValidation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00"/>
  <sheetViews>
    <sheetView showGridLines="0" workbookViewId="0">
      <selection activeCell="L6" sqref="L6"/>
    </sheetView>
  </sheetViews>
  <sheetFormatPr defaultColWidth="14.42578125" defaultRowHeight="15" customHeight="1"/>
  <cols>
    <col min="1" max="1" width="8.7109375" customWidth="1"/>
    <col min="2" max="2" width="6.42578125" customWidth="1"/>
    <col min="3" max="3" width="14.28515625" customWidth="1"/>
    <col min="4" max="4" width="22" customWidth="1"/>
    <col min="5" max="5" width="11.42578125" customWidth="1"/>
    <col min="6" max="6" width="14.7109375" customWidth="1"/>
    <col min="7" max="11" width="8.7109375" customWidth="1"/>
    <col min="12" max="12" width="19" customWidth="1"/>
    <col min="13" max="13" width="9.85546875" customWidth="1"/>
    <col min="14" max="14" width="6" customWidth="1"/>
    <col min="15" max="16" width="11.7109375" customWidth="1"/>
    <col min="17" max="17" width="12.28515625" customWidth="1"/>
    <col min="18" max="18" width="9.140625" customWidth="1"/>
    <col min="19" max="19" width="6" customWidth="1"/>
    <col min="20" max="20" width="12.28515625" customWidth="1"/>
    <col min="21" max="21" width="11.7109375" customWidth="1"/>
    <col min="22" max="26" width="8.7109375" customWidth="1"/>
  </cols>
  <sheetData>
    <row r="1" spans="1:21" ht="14.25" customHeight="1">
      <c r="A1" s="104" t="s">
        <v>323</v>
      </c>
      <c r="B1" s="100"/>
      <c r="C1" s="100"/>
      <c r="D1" s="100"/>
      <c r="E1" s="100"/>
      <c r="F1" s="100"/>
      <c r="G1" s="100"/>
      <c r="H1" s="100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1" ht="14.25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</row>
    <row r="3" spans="1:21" ht="14.25" customHeight="1">
      <c r="A3" s="97"/>
      <c r="B3" s="7" t="s">
        <v>324</v>
      </c>
      <c r="C3" s="8" t="s">
        <v>123</v>
      </c>
      <c r="D3" s="8" t="s">
        <v>126</v>
      </c>
      <c r="E3" s="8" t="s">
        <v>325</v>
      </c>
      <c r="F3" s="10" t="s">
        <v>326</v>
      </c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</row>
    <row r="4" spans="1:21" ht="14.25" customHeight="1">
      <c r="A4" s="97"/>
      <c r="B4" s="9" t="s">
        <v>327</v>
      </c>
      <c r="C4" s="77" t="s">
        <v>129</v>
      </c>
      <c r="D4" s="77" t="s">
        <v>130</v>
      </c>
      <c r="E4" s="77" t="s">
        <v>328</v>
      </c>
      <c r="F4" s="21" t="s">
        <v>329</v>
      </c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</row>
    <row r="5" spans="1:21" ht="14.25" customHeight="1">
      <c r="A5" s="97"/>
      <c r="B5" s="13" t="s">
        <v>327</v>
      </c>
      <c r="C5" s="16" t="s">
        <v>129</v>
      </c>
      <c r="D5" s="16" t="s">
        <v>132</v>
      </c>
      <c r="E5" s="16" t="s">
        <v>328</v>
      </c>
      <c r="F5" s="23" t="s">
        <v>329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</row>
    <row r="6" spans="1:21" ht="14.25" customHeight="1">
      <c r="A6" s="97"/>
      <c r="B6" s="13" t="s">
        <v>327</v>
      </c>
      <c r="C6" s="16" t="s">
        <v>129</v>
      </c>
      <c r="D6" s="16" t="s">
        <v>134</v>
      </c>
      <c r="E6" s="16" t="s">
        <v>328</v>
      </c>
      <c r="F6" s="23" t="s">
        <v>330</v>
      </c>
      <c r="G6" s="97"/>
      <c r="H6" s="97"/>
      <c r="I6" s="97"/>
      <c r="J6" s="97"/>
      <c r="K6" s="97"/>
      <c r="L6" s="86" t="s">
        <v>331</v>
      </c>
      <c r="M6" s="86" t="s">
        <v>324</v>
      </c>
      <c r="N6" s="97"/>
      <c r="O6" s="97"/>
      <c r="P6" s="97"/>
      <c r="Q6" s="97"/>
      <c r="R6" s="97"/>
      <c r="S6" s="97"/>
      <c r="T6" s="97"/>
      <c r="U6" s="97"/>
    </row>
    <row r="7" spans="1:21" ht="14.25" customHeight="1">
      <c r="A7" s="97"/>
      <c r="B7" s="13" t="s">
        <v>327</v>
      </c>
      <c r="C7" s="16" t="s">
        <v>136</v>
      </c>
      <c r="D7" s="16" t="s">
        <v>137</v>
      </c>
      <c r="E7" s="16" t="s">
        <v>328</v>
      </c>
      <c r="F7" s="23" t="s">
        <v>330</v>
      </c>
      <c r="G7" s="97"/>
      <c r="H7" s="97"/>
      <c r="I7" s="97"/>
      <c r="J7" s="97"/>
      <c r="K7" s="97"/>
      <c r="L7" s="86" t="s">
        <v>326</v>
      </c>
      <c r="M7" s="97" t="s">
        <v>332</v>
      </c>
      <c r="N7" s="97" t="s">
        <v>327</v>
      </c>
      <c r="O7" s="97" t="s">
        <v>333</v>
      </c>
      <c r="P7" s="97"/>
      <c r="Q7" s="97"/>
      <c r="R7" s="97"/>
      <c r="S7" s="97"/>
      <c r="T7" s="97"/>
      <c r="U7" s="97"/>
    </row>
    <row r="8" spans="1:21" ht="14.25" customHeight="1">
      <c r="A8" s="97"/>
      <c r="B8" s="13" t="s">
        <v>327</v>
      </c>
      <c r="C8" s="16" t="s">
        <v>247</v>
      </c>
      <c r="D8" s="16" t="s">
        <v>139</v>
      </c>
      <c r="E8" s="16" t="s">
        <v>328</v>
      </c>
      <c r="F8" s="23" t="s">
        <v>334</v>
      </c>
      <c r="G8" s="97"/>
      <c r="H8" s="97"/>
      <c r="I8" s="97"/>
      <c r="J8" s="97"/>
      <c r="K8" s="97"/>
      <c r="L8" s="97" t="s">
        <v>334</v>
      </c>
      <c r="M8" s="87"/>
      <c r="N8" s="87">
        <v>1</v>
      </c>
      <c r="O8" s="87">
        <v>1</v>
      </c>
      <c r="P8" s="97"/>
      <c r="Q8" s="97"/>
      <c r="R8" s="97"/>
      <c r="S8" s="97"/>
      <c r="T8" s="97"/>
      <c r="U8" s="97"/>
    </row>
    <row r="9" spans="1:21" ht="14.25" customHeight="1">
      <c r="A9" s="97"/>
      <c r="B9" s="13" t="s">
        <v>327</v>
      </c>
      <c r="C9" s="16" t="s">
        <v>141</v>
      </c>
      <c r="D9" s="16" t="s">
        <v>142</v>
      </c>
      <c r="E9" s="16" t="s">
        <v>328</v>
      </c>
      <c r="F9" s="23" t="s">
        <v>330</v>
      </c>
      <c r="G9" s="97"/>
      <c r="H9" s="97"/>
      <c r="I9" s="97"/>
      <c r="J9" s="97"/>
      <c r="K9" s="97"/>
      <c r="L9" s="97" t="s">
        <v>330</v>
      </c>
      <c r="M9" s="87">
        <v>6</v>
      </c>
      <c r="N9" s="87">
        <v>7</v>
      </c>
      <c r="O9" s="87">
        <v>13</v>
      </c>
      <c r="P9" s="97"/>
      <c r="Q9" s="97"/>
      <c r="R9" s="97"/>
      <c r="S9" s="97"/>
      <c r="T9" s="97"/>
      <c r="U9" s="97"/>
    </row>
    <row r="10" spans="1:21" ht="14.25" customHeight="1">
      <c r="A10" s="97"/>
      <c r="B10" s="13" t="s">
        <v>327</v>
      </c>
      <c r="C10" s="16" t="s">
        <v>143</v>
      </c>
      <c r="D10" s="16" t="s">
        <v>144</v>
      </c>
      <c r="E10" s="16" t="s">
        <v>328</v>
      </c>
      <c r="F10" s="23" t="s">
        <v>330</v>
      </c>
      <c r="G10" s="97"/>
      <c r="H10" s="97"/>
      <c r="I10" s="97"/>
      <c r="J10" s="97"/>
      <c r="K10" s="97"/>
      <c r="L10" s="97" t="s">
        <v>329</v>
      </c>
      <c r="M10" s="87">
        <v>2</v>
      </c>
      <c r="N10" s="87">
        <v>3</v>
      </c>
      <c r="O10" s="87">
        <v>5</v>
      </c>
      <c r="P10" s="97"/>
      <c r="Q10" s="97"/>
      <c r="R10" s="97"/>
      <c r="S10" s="97"/>
      <c r="T10" s="97"/>
      <c r="U10" s="97"/>
    </row>
    <row r="11" spans="1:21" ht="14.25" customHeight="1">
      <c r="A11" s="97"/>
      <c r="B11" s="13" t="s">
        <v>327</v>
      </c>
      <c r="C11" s="16" t="s">
        <v>141</v>
      </c>
      <c r="D11" s="16" t="s">
        <v>146</v>
      </c>
      <c r="E11" s="16" t="s">
        <v>328</v>
      </c>
      <c r="F11" s="23" t="s">
        <v>329</v>
      </c>
      <c r="G11" s="97"/>
      <c r="H11" s="97"/>
      <c r="I11" s="97"/>
      <c r="J11" s="97"/>
      <c r="K11" s="97"/>
      <c r="L11" s="97" t="s">
        <v>333</v>
      </c>
      <c r="M11" s="87">
        <v>8</v>
      </c>
      <c r="N11" s="87">
        <v>11</v>
      </c>
      <c r="O11" s="87">
        <v>19</v>
      </c>
      <c r="P11" s="97"/>
      <c r="Q11" s="97"/>
      <c r="R11" s="97"/>
      <c r="S11" s="97"/>
      <c r="T11" s="97"/>
      <c r="U11" s="97"/>
    </row>
    <row r="12" spans="1:21" ht="14.25" customHeight="1">
      <c r="A12" s="97"/>
      <c r="B12" s="13" t="s">
        <v>327</v>
      </c>
      <c r="C12" s="16" t="s">
        <v>143</v>
      </c>
      <c r="D12" s="16" t="s">
        <v>144</v>
      </c>
      <c r="E12" s="16" t="s">
        <v>328</v>
      </c>
      <c r="F12" s="23" t="s">
        <v>330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</row>
    <row r="13" spans="1:21" ht="14.25" customHeight="1">
      <c r="A13" s="97"/>
      <c r="B13" s="13" t="s">
        <v>327</v>
      </c>
      <c r="C13" s="16" t="s">
        <v>143</v>
      </c>
      <c r="D13" s="16" t="s">
        <v>144</v>
      </c>
      <c r="E13" s="16" t="s">
        <v>328</v>
      </c>
      <c r="F13" s="23" t="s">
        <v>330</v>
      </c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</row>
    <row r="14" spans="1:21" ht="14.25" customHeight="1">
      <c r="A14" s="97"/>
      <c r="B14" s="13" t="s">
        <v>327</v>
      </c>
      <c r="C14" s="16" t="s">
        <v>143</v>
      </c>
      <c r="D14" s="16" t="s">
        <v>149</v>
      </c>
      <c r="E14" s="16" t="s">
        <v>328</v>
      </c>
      <c r="F14" s="23" t="s">
        <v>330</v>
      </c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</row>
    <row r="15" spans="1:21" ht="14.25" customHeight="1">
      <c r="A15" s="97"/>
      <c r="B15" s="13" t="s">
        <v>332</v>
      </c>
      <c r="C15" s="16" t="s">
        <v>141</v>
      </c>
      <c r="D15" s="16" t="s">
        <v>151</v>
      </c>
      <c r="E15" s="16" t="s">
        <v>328</v>
      </c>
      <c r="F15" s="23" t="s">
        <v>330</v>
      </c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</row>
    <row r="16" spans="1:21" ht="14.25" customHeight="1">
      <c r="A16" s="97"/>
      <c r="B16" s="13" t="s">
        <v>332</v>
      </c>
      <c r="C16" s="16" t="s">
        <v>143</v>
      </c>
      <c r="D16" s="16" t="s">
        <v>149</v>
      </c>
      <c r="E16" s="16" t="s">
        <v>328</v>
      </c>
      <c r="F16" s="23" t="s">
        <v>330</v>
      </c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</row>
    <row r="17" spans="2:14" ht="14.25" customHeight="1">
      <c r="B17" s="13" t="s">
        <v>332</v>
      </c>
      <c r="C17" s="16" t="s">
        <v>143</v>
      </c>
      <c r="D17" s="16" t="s">
        <v>154</v>
      </c>
      <c r="E17" s="16" t="s">
        <v>328</v>
      </c>
      <c r="F17" s="23" t="s">
        <v>330</v>
      </c>
      <c r="G17" s="97"/>
      <c r="H17" s="97"/>
      <c r="I17" s="97"/>
      <c r="J17" s="97"/>
      <c r="K17" s="97"/>
      <c r="L17" s="97"/>
      <c r="M17" s="97"/>
      <c r="N17" s="97"/>
    </row>
    <row r="18" spans="2:14" ht="14.25" customHeight="1">
      <c r="B18" s="13" t="s">
        <v>332</v>
      </c>
      <c r="C18" s="16" t="s">
        <v>153</v>
      </c>
      <c r="D18" s="16" t="s">
        <v>156</v>
      </c>
      <c r="E18" s="16" t="s">
        <v>328</v>
      </c>
      <c r="F18" s="23" t="s">
        <v>330</v>
      </c>
      <c r="G18" s="97"/>
      <c r="H18" s="97"/>
      <c r="I18" s="97"/>
      <c r="J18" s="97"/>
      <c r="K18" s="97"/>
      <c r="L18" s="97"/>
      <c r="M18" s="97"/>
      <c r="N18" s="97"/>
    </row>
    <row r="19" spans="2:14" ht="14.25" customHeight="1">
      <c r="B19" s="13" t="s">
        <v>332</v>
      </c>
      <c r="C19" s="16" t="s">
        <v>153</v>
      </c>
      <c r="D19" s="16" t="s">
        <v>157</v>
      </c>
      <c r="E19" s="16" t="s">
        <v>328</v>
      </c>
      <c r="F19" s="23" t="s">
        <v>330</v>
      </c>
      <c r="G19" s="97"/>
      <c r="H19" s="97"/>
      <c r="I19" s="97"/>
      <c r="J19" s="97"/>
      <c r="K19" s="97"/>
      <c r="L19" s="97"/>
      <c r="M19" s="97"/>
      <c r="N19" s="97"/>
    </row>
    <row r="20" spans="2:14" ht="14.25" customHeight="1">
      <c r="B20" s="13" t="s">
        <v>332</v>
      </c>
      <c r="C20" s="16" t="s">
        <v>141</v>
      </c>
      <c r="D20" s="16" t="s">
        <v>151</v>
      </c>
      <c r="E20" s="16" t="s">
        <v>328</v>
      </c>
      <c r="F20" s="23" t="s">
        <v>329</v>
      </c>
      <c r="G20" s="97"/>
      <c r="H20" s="97"/>
      <c r="I20" s="97"/>
      <c r="J20" s="97"/>
      <c r="K20" s="97"/>
      <c r="L20" s="97"/>
      <c r="M20" s="97"/>
      <c r="N20" s="97"/>
    </row>
    <row r="21" spans="2:14" ht="14.25" customHeight="1">
      <c r="B21" s="13" t="s">
        <v>332</v>
      </c>
      <c r="C21" s="16" t="s">
        <v>150</v>
      </c>
      <c r="D21" s="16" t="s">
        <v>159</v>
      </c>
      <c r="E21" s="16" t="s">
        <v>328</v>
      </c>
      <c r="F21" s="23" t="s">
        <v>330</v>
      </c>
      <c r="G21" s="97"/>
      <c r="H21" s="97"/>
      <c r="I21" s="97"/>
      <c r="J21" s="97"/>
      <c r="K21" s="97"/>
      <c r="L21" s="97"/>
      <c r="M21" s="97"/>
      <c r="N21" s="97"/>
    </row>
    <row r="22" spans="2:14" ht="14.25" customHeight="1">
      <c r="B22" s="13" t="s">
        <v>332</v>
      </c>
      <c r="C22" s="16" t="s">
        <v>141</v>
      </c>
      <c r="D22" s="16" t="s">
        <v>142</v>
      </c>
      <c r="E22" s="16" t="s">
        <v>328</v>
      </c>
      <c r="F22" s="23" t="s">
        <v>329</v>
      </c>
      <c r="G22" s="97"/>
      <c r="H22" s="97"/>
      <c r="I22" s="97"/>
      <c r="J22" s="97"/>
      <c r="K22" s="97"/>
      <c r="L22" s="97"/>
      <c r="M22" s="97"/>
      <c r="N22" s="97"/>
    </row>
    <row r="23" spans="2:14" ht="14.25" customHeight="1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</row>
    <row r="24" spans="2:14" ht="14.25" customHeight="1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</row>
    <row r="25" spans="2:14" ht="14.25" customHeight="1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</row>
    <row r="26" spans="2:14" ht="14.25" customHeight="1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</row>
    <row r="27" spans="2:14" ht="14.25" customHeight="1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</row>
    <row r="28" spans="2:14" ht="14.25" customHeight="1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</row>
    <row r="29" spans="2:14" ht="14.25" customHeight="1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</row>
    <row r="30" spans="2:14" ht="14.25" customHeight="1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</row>
    <row r="31" spans="2:14" ht="14.25" customHeight="1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</row>
    <row r="32" spans="2:14" ht="14.25" customHeight="1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L1000"/>
  <sheetViews>
    <sheetView workbookViewId="0">
      <selection activeCell="P13" sqref="P13"/>
    </sheetView>
  </sheetViews>
  <sheetFormatPr defaultColWidth="14.42578125" defaultRowHeight="15" customHeight="1"/>
  <cols>
    <col min="1" max="1" width="7.28515625" bestFit="1" customWidth="1"/>
    <col min="2" max="2" width="17.85546875" bestFit="1" customWidth="1"/>
    <col min="3" max="3" width="10.28515625" bestFit="1" customWidth="1"/>
    <col min="4" max="4" width="10" bestFit="1" customWidth="1"/>
    <col min="5" max="5" width="10.5703125" bestFit="1" customWidth="1"/>
    <col min="6" max="6" width="16.5703125" bestFit="1" customWidth="1"/>
    <col min="7" max="7" width="15.28515625" bestFit="1" customWidth="1"/>
    <col min="8" max="8" width="21.5703125" bestFit="1" customWidth="1"/>
    <col min="9" max="9" width="8.85546875" bestFit="1" customWidth="1"/>
    <col min="10" max="10" width="18.28515625" bestFit="1" customWidth="1"/>
    <col min="11" max="11" width="27.5703125" bestFit="1" customWidth="1"/>
    <col min="12" max="12" width="10.5703125" bestFit="1" customWidth="1"/>
    <col min="13" max="26" width="8.7109375" customWidth="1"/>
  </cols>
  <sheetData>
    <row r="1" spans="1:12" ht="14.25" customHeight="1">
      <c r="A1" s="97"/>
      <c r="B1" s="113" t="s">
        <v>335</v>
      </c>
      <c r="C1" s="100"/>
      <c r="D1" s="97"/>
      <c r="E1" s="97"/>
      <c r="F1" s="97"/>
      <c r="G1" s="97"/>
      <c r="H1" s="97"/>
      <c r="I1" s="97"/>
      <c r="J1" s="97"/>
      <c r="K1" s="97"/>
      <c r="L1" s="97"/>
    </row>
    <row r="2" spans="1:12" ht="14.25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4.25" hidden="1" customHeight="1">
      <c r="A4" s="3">
        <v>1</v>
      </c>
      <c r="B4" s="3" t="s">
        <v>13</v>
      </c>
      <c r="C4" s="3">
        <v>112</v>
      </c>
      <c r="D4" s="3" t="s">
        <v>14</v>
      </c>
      <c r="E4" s="4">
        <v>37084</v>
      </c>
      <c r="F4" s="3" t="s">
        <v>15</v>
      </c>
      <c r="G4" s="5">
        <v>44571</v>
      </c>
      <c r="H4" s="5">
        <v>44958</v>
      </c>
      <c r="I4" s="3">
        <v>42000</v>
      </c>
      <c r="J4" s="3">
        <v>8</v>
      </c>
      <c r="K4" s="3">
        <v>9821934908</v>
      </c>
      <c r="L4" s="3" t="s">
        <v>16</v>
      </c>
    </row>
    <row r="5" spans="1:12" ht="14.25" customHeight="1">
      <c r="A5" s="3">
        <v>2</v>
      </c>
      <c r="B5" s="3" t="s">
        <v>17</v>
      </c>
      <c r="C5" s="3">
        <v>113</v>
      </c>
      <c r="D5" s="3" t="s">
        <v>18</v>
      </c>
      <c r="E5" s="4">
        <v>35354</v>
      </c>
      <c r="F5" s="3" t="s">
        <v>19</v>
      </c>
      <c r="G5" s="5">
        <v>44507</v>
      </c>
      <c r="H5" s="5">
        <v>45224</v>
      </c>
      <c r="I5" s="3">
        <v>35000</v>
      </c>
      <c r="J5" s="3">
        <v>1</v>
      </c>
      <c r="K5" s="3">
        <v>9543693808</v>
      </c>
      <c r="L5" s="3" t="s">
        <v>20</v>
      </c>
    </row>
    <row r="6" spans="1:12" ht="14.25" hidden="1" customHeight="1">
      <c r="A6" s="3">
        <v>3</v>
      </c>
      <c r="B6" s="3" t="s">
        <v>21</v>
      </c>
      <c r="C6" s="3">
        <v>114</v>
      </c>
      <c r="D6" s="3" t="s">
        <v>14</v>
      </c>
      <c r="E6" s="4">
        <v>33266</v>
      </c>
      <c r="F6" s="3" t="s">
        <v>22</v>
      </c>
      <c r="G6" s="5">
        <v>44407</v>
      </c>
      <c r="H6" s="5">
        <v>44558</v>
      </c>
      <c r="I6" s="3">
        <v>35000</v>
      </c>
      <c r="J6" s="3">
        <v>3</v>
      </c>
      <c r="K6" s="3">
        <v>9493205498</v>
      </c>
      <c r="L6" s="3" t="s">
        <v>16</v>
      </c>
    </row>
    <row r="7" spans="1:12" ht="14.25" hidden="1" customHeight="1">
      <c r="A7" s="3">
        <v>4</v>
      </c>
      <c r="B7" s="3" t="s">
        <v>23</v>
      </c>
      <c r="C7" s="3">
        <v>115</v>
      </c>
      <c r="D7" s="3" t="s">
        <v>18</v>
      </c>
      <c r="E7" s="4">
        <v>37111</v>
      </c>
      <c r="F7" s="3" t="s">
        <v>22</v>
      </c>
      <c r="G7" s="5">
        <v>44492</v>
      </c>
      <c r="H7" s="5">
        <v>44598</v>
      </c>
      <c r="I7" s="3">
        <v>18000</v>
      </c>
      <c r="J7" s="3">
        <v>5</v>
      </c>
      <c r="K7" s="3">
        <v>9136087980</v>
      </c>
      <c r="L7" s="3" t="s">
        <v>16</v>
      </c>
    </row>
    <row r="8" spans="1:12" ht="14.25" hidden="1" customHeight="1">
      <c r="A8" s="3">
        <v>5</v>
      </c>
      <c r="B8" s="3" t="s">
        <v>24</v>
      </c>
      <c r="C8" s="3">
        <v>116</v>
      </c>
      <c r="D8" s="3" t="s">
        <v>18</v>
      </c>
      <c r="E8" s="4">
        <v>35151</v>
      </c>
      <c r="F8" s="3" t="s">
        <v>25</v>
      </c>
      <c r="G8" s="5">
        <v>44571</v>
      </c>
      <c r="H8" s="5">
        <v>45048</v>
      </c>
      <c r="I8" s="3">
        <v>35000</v>
      </c>
      <c r="J8" s="3">
        <v>9</v>
      </c>
      <c r="K8" s="3">
        <v>9726733882</v>
      </c>
      <c r="L8" s="3" t="s">
        <v>20</v>
      </c>
    </row>
    <row r="9" spans="1:12" ht="14.25" hidden="1" customHeight="1">
      <c r="A9" s="3">
        <v>6</v>
      </c>
      <c r="B9" s="3" t="s">
        <v>26</v>
      </c>
      <c r="C9" s="3">
        <v>117</v>
      </c>
      <c r="D9" s="3" t="s">
        <v>14</v>
      </c>
      <c r="E9" s="4">
        <v>36885</v>
      </c>
      <c r="F9" s="3" t="s">
        <v>22</v>
      </c>
      <c r="G9" s="5">
        <v>44577</v>
      </c>
      <c r="H9" s="5">
        <v>45304</v>
      </c>
      <c r="I9" s="3">
        <v>42000</v>
      </c>
      <c r="J9" s="3">
        <v>9</v>
      </c>
      <c r="K9" s="3">
        <v>9669292876</v>
      </c>
      <c r="L9" s="3" t="s">
        <v>27</v>
      </c>
    </row>
    <row r="10" spans="1:12" ht="14.25" hidden="1" customHeight="1">
      <c r="A10" s="3">
        <v>7</v>
      </c>
      <c r="B10" s="3" t="s">
        <v>28</v>
      </c>
      <c r="C10" s="3">
        <v>118</v>
      </c>
      <c r="D10" s="3" t="s">
        <v>14</v>
      </c>
      <c r="E10" s="4">
        <v>34319</v>
      </c>
      <c r="F10" s="3" t="s">
        <v>25</v>
      </c>
      <c r="G10" s="5">
        <v>44424</v>
      </c>
      <c r="H10" s="5">
        <v>45054</v>
      </c>
      <c r="I10" s="3">
        <v>10000</v>
      </c>
      <c r="J10" s="3">
        <v>9</v>
      </c>
      <c r="K10" s="3">
        <v>9315204195</v>
      </c>
      <c r="L10" s="3" t="s">
        <v>29</v>
      </c>
    </row>
    <row r="11" spans="1:12" ht="14.25" customHeight="1">
      <c r="A11" s="3">
        <v>8</v>
      </c>
      <c r="B11" s="3" t="s">
        <v>30</v>
      </c>
      <c r="C11" s="3">
        <v>119</v>
      </c>
      <c r="D11" s="3" t="s">
        <v>18</v>
      </c>
      <c r="E11" s="4">
        <v>36250</v>
      </c>
      <c r="F11" s="3" t="s">
        <v>19</v>
      </c>
      <c r="G11" s="5">
        <v>44504</v>
      </c>
      <c r="H11" s="5">
        <v>44707</v>
      </c>
      <c r="I11" s="3">
        <v>18000</v>
      </c>
      <c r="J11" s="3">
        <v>3</v>
      </c>
      <c r="K11" s="3">
        <v>9285113634</v>
      </c>
      <c r="L11" s="3" t="s">
        <v>20</v>
      </c>
    </row>
    <row r="12" spans="1:12" ht="14.25" hidden="1" customHeight="1">
      <c r="A12" s="3">
        <v>9</v>
      </c>
      <c r="B12" s="3" t="s">
        <v>31</v>
      </c>
      <c r="C12" s="3">
        <v>110</v>
      </c>
      <c r="D12" s="3" t="s">
        <v>14</v>
      </c>
      <c r="E12" s="4">
        <v>36109</v>
      </c>
      <c r="F12" s="3" t="s">
        <v>25</v>
      </c>
      <c r="G12" s="5">
        <v>44556</v>
      </c>
      <c r="H12" s="5">
        <v>44992</v>
      </c>
      <c r="I12" s="3">
        <v>35000</v>
      </c>
      <c r="J12" s="3">
        <v>8</v>
      </c>
      <c r="K12" s="3">
        <v>9511890959</v>
      </c>
      <c r="L12" s="3" t="s">
        <v>32</v>
      </c>
    </row>
    <row r="13" spans="1:12" ht="14.25" hidden="1" customHeight="1">
      <c r="A13" s="3">
        <v>10</v>
      </c>
      <c r="B13" s="3" t="s">
        <v>33</v>
      </c>
      <c r="C13" s="3">
        <v>111</v>
      </c>
      <c r="D13" s="3" t="s">
        <v>18</v>
      </c>
      <c r="E13" s="4">
        <v>34701</v>
      </c>
      <c r="F13" s="3" t="s">
        <v>15</v>
      </c>
      <c r="G13" s="5">
        <v>44372</v>
      </c>
      <c r="H13" s="5">
        <v>44835</v>
      </c>
      <c r="I13" s="3">
        <v>18000</v>
      </c>
      <c r="J13" s="3">
        <v>2</v>
      </c>
      <c r="K13" s="3">
        <v>9178537741</v>
      </c>
      <c r="L13" s="3" t="s">
        <v>16</v>
      </c>
    </row>
    <row r="14" spans="1:12" ht="14.25" hidden="1" customHeight="1">
      <c r="A14" s="3">
        <v>11</v>
      </c>
      <c r="B14" s="3" t="s">
        <v>34</v>
      </c>
      <c r="C14" s="3">
        <v>112</v>
      </c>
      <c r="D14" s="3" t="s">
        <v>14</v>
      </c>
      <c r="E14" s="4">
        <v>35642</v>
      </c>
      <c r="F14" s="3" t="s">
        <v>25</v>
      </c>
      <c r="G14" s="5">
        <v>44308</v>
      </c>
      <c r="H14" s="5">
        <v>44677</v>
      </c>
      <c r="I14" s="3">
        <v>10000</v>
      </c>
      <c r="J14" s="3">
        <v>7</v>
      </c>
      <c r="K14" s="3">
        <v>9563258827</v>
      </c>
      <c r="L14" s="3" t="s">
        <v>32</v>
      </c>
    </row>
    <row r="15" spans="1:12" ht="14.25" hidden="1" customHeight="1">
      <c r="A15" s="3">
        <v>12</v>
      </c>
      <c r="B15" s="3" t="s">
        <v>35</v>
      </c>
      <c r="C15" s="3">
        <v>113</v>
      </c>
      <c r="D15" s="3" t="s">
        <v>14</v>
      </c>
      <c r="E15" s="4">
        <v>35710</v>
      </c>
      <c r="F15" s="3" t="s">
        <v>22</v>
      </c>
      <c r="G15" s="5">
        <v>44382</v>
      </c>
      <c r="H15" s="5">
        <v>44681</v>
      </c>
      <c r="I15" s="3">
        <v>20000</v>
      </c>
      <c r="J15" s="3">
        <v>1</v>
      </c>
      <c r="K15" s="3">
        <v>9903668284</v>
      </c>
      <c r="L15" s="3" t="s">
        <v>32</v>
      </c>
    </row>
    <row r="16" spans="1:12" ht="14.25" hidden="1" customHeight="1">
      <c r="A16" s="3">
        <v>13</v>
      </c>
      <c r="B16" s="3" t="s">
        <v>36</v>
      </c>
      <c r="C16" s="3">
        <v>114</v>
      </c>
      <c r="D16" s="3" t="s">
        <v>18</v>
      </c>
      <c r="E16" s="4">
        <v>37121</v>
      </c>
      <c r="F16" s="3" t="s">
        <v>25</v>
      </c>
      <c r="G16" s="5">
        <v>44395</v>
      </c>
      <c r="H16" s="5">
        <v>45049</v>
      </c>
      <c r="I16" s="3">
        <v>35000</v>
      </c>
      <c r="J16" s="3">
        <v>8</v>
      </c>
      <c r="K16" s="3">
        <v>9412491495</v>
      </c>
      <c r="L16" s="3" t="s">
        <v>27</v>
      </c>
    </row>
    <row r="17" spans="1:12" ht="14.25" hidden="1" customHeight="1">
      <c r="A17" s="3">
        <v>14</v>
      </c>
      <c r="B17" s="3" t="s">
        <v>37</v>
      </c>
      <c r="C17" s="3">
        <v>115</v>
      </c>
      <c r="D17" s="3" t="s">
        <v>18</v>
      </c>
      <c r="E17" s="4">
        <v>35440</v>
      </c>
      <c r="F17" s="3" t="s">
        <v>15</v>
      </c>
      <c r="G17" s="5">
        <v>44617</v>
      </c>
      <c r="H17" s="5">
        <v>45195</v>
      </c>
      <c r="I17" s="3">
        <v>42000</v>
      </c>
      <c r="J17" s="3">
        <v>10</v>
      </c>
      <c r="K17" s="3">
        <v>9580977285</v>
      </c>
      <c r="L17" s="3" t="s">
        <v>29</v>
      </c>
    </row>
    <row r="18" spans="1:12" ht="14.25" hidden="1" customHeight="1">
      <c r="A18" s="3">
        <v>15</v>
      </c>
      <c r="B18" s="3" t="s">
        <v>38</v>
      </c>
      <c r="C18" s="3">
        <v>116</v>
      </c>
      <c r="D18" s="3" t="s">
        <v>14</v>
      </c>
      <c r="E18" s="4">
        <v>35105</v>
      </c>
      <c r="F18" s="3" t="s">
        <v>22</v>
      </c>
      <c r="G18" s="5">
        <v>44300</v>
      </c>
      <c r="H18" s="5">
        <v>44785</v>
      </c>
      <c r="I18" s="3">
        <v>20000</v>
      </c>
      <c r="J18" s="3">
        <v>2</v>
      </c>
      <c r="K18" s="3">
        <v>9543199239</v>
      </c>
      <c r="L18" s="3" t="s">
        <v>27</v>
      </c>
    </row>
    <row r="19" spans="1:12" ht="14.25" hidden="1" customHeight="1">
      <c r="A19" s="3">
        <v>16</v>
      </c>
      <c r="B19" s="3" t="s">
        <v>39</v>
      </c>
      <c r="C19" s="3">
        <v>117</v>
      </c>
      <c r="D19" s="3" t="s">
        <v>14</v>
      </c>
      <c r="E19" s="4">
        <v>35649</v>
      </c>
      <c r="F19" s="3" t="s">
        <v>25</v>
      </c>
      <c r="G19" s="5">
        <v>44565</v>
      </c>
      <c r="H19" s="5">
        <v>44725</v>
      </c>
      <c r="I19" s="3">
        <v>10000</v>
      </c>
      <c r="J19" s="3">
        <v>7</v>
      </c>
      <c r="K19" s="3">
        <v>9712763149</v>
      </c>
      <c r="L19" s="3" t="s">
        <v>32</v>
      </c>
    </row>
    <row r="20" spans="1:12" ht="14.25" hidden="1" customHeight="1">
      <c r="A20" s="3">
        <v>17</v>
      </c>
      <c r="B20" s="3" t="s">
        <v>40</v>
      </c>
      <c r="C20" s="3">
        <v>118</v>
      </c>
      <c r="D20" s="3" t="s">
        <v>14</v>
      </c>
      <c r="E20" s="4">
        <v>35946</v>
      </c>
      <c r="F20" s="3" t="s">
        <v>15</v>
      </c>
      <c r="G20" s="5">
        <v>44494</v>
      </c>
      <c r="H20" s="5">
        <v>45097</v>
      </c>
      <c r="I20" s="3">
        <v>10000</v>
      </c>
      <c r="J20" s="3">
        <v>5</v>
      </c>
      <c r="K20" s="3">
        <v>9750297284</v>
      </c>
      <c r="L20" s="3" t="s">
        <v>20</v>
      </c>
    </row>
    <row r="21" spans="1:12" ht="14.25" customHeight="1">
      <c r="A21" s="3">
        <v>18</v>
      </c>
      <c r="B21" s="3" t="s">
        <v>41</v>
      </c>
      <c r="C21" s="3">
        <v>119</v>
      </c>
      <c r="D21" s="3" t="s">
        <v>18</v>
      </c>
      <c r="E21" s="4">
        <v>35239</v>
      </c>
      <c r="F21" s="3" t="s">
        <v>19</v>
      </c>
      <c r="G21" s="5">
        <v>44332</v>
      </c>
      <c r="H21" s="5">
        <v>44673</v>
      </c>
      <c r="I21" s="3">
        <v>35000</v>
      </c>
      <c r="J21" s="3">
        <v>9</v>
      </c>
      <c r="K21" s="3">
        <v>9356037554</v>
      </c>
      <c r="L21" s="3" t="s">
        <v>32</v>
      </c>
    </row>
    <row r="22" spans="1:12" ht="14.25" hidden="1" customHeight="1">
      <c r="A22" s="3">
        <v>19</v>
      </c>
      <c r="B22" s="3" t="s">
        <v>42</v>
      </c>
      <c r="C22" s="3">
        <v>120</v>
      </c>
      <c r="D22" s="3" t="s">
        <v>18</v>
      </c>
      <c r="E22" s="4">
        <v>33573</v>
      </c>
      <c r="F22" s="3" t="s">
        <v>15</v>
      </c>
      <c r="G22" s="5">
        <v>44604</v>
      </c>
      <c r="H22" s="5">
        <v>45195</v>
      </c>
      <c r="I22" s="3">
        <v>20000</v>
      </c>
      <c r="J22" s="3">
        <v>3</v>
      </c>
      <c r="K22" s="3">
        <v>9816090272</v>
      </c>
      <c r="L22" s="3" t="s">
        <v>29</v>
      </c>
    </row>
    <row r="23" spans="1:12" ht="14.25" hidden="1" customHeight="1">
      <c r="A23" s="3">
        <v>20</v>
      </c>
      <c r="B23" s="3" t="s">
        <v>43</v>
      </c>
      <c r="C23" s="3">
        <v>121</v>
      </c>
      <c r="D23" s="3" t="s">
        <v>18</v>
      </c>
      <c r="E23" s="4">
        <v>36573</v>
      </c>
      <c r="F23" s="3" t="s">
        <v>15</v>
      </c>
      <c r="G23" s="5">
        <v>44438</v>
      </c>
      <c r="H23" s="5">
        <v>44857</v>
      </c>
      <c r="I23" s="3">
        <v>20000</v>
      </c>
      <c r="J23" s="3">
        <v>6</v>
      </c>
      <c r="K23" s="3">
        <v>9372396296</v>
      </c>
      <c r="L23" s="3" t="s">
        <v>27</v>
      </c>
    </row>
    <row r="24" spans="1:12" ht="14.25" hidden="1" customHeight="1">
      <c r="A24" s="3">
        <v>21</v>
      </c>
      <c r="B24" s="3" t="s">
        <v>44</v>
      </c>
      <c r="C24" s="3">
        <v>112</v>
      </c>
      <c r="D24" s="3" t="s">
        <v>14</v>
      </c>
      <c r="E24" s="4">
        <v>37047</v>
      </c>
      <c r="F24" s="3" t="s">
        <v>25</v>
      </c>
      <c r="G24" s="5">
        <v>44431</v>
      </c>
      <c r="H24" s="5">
        <v>45038</v>
      </c>
      <c r="I24" s="3">
        <v>18000</v>
      </c>
      <c r="J24" s="3">
        <v>1</v>
      </c>
      <c r="K24" s="3">
        <v>9756436801</v>
      </c>
      <c r="L24" s="3" t="s">
        <v>16</v>
      </c>
    </row>
    <row r="25" spans="1:12" ht="14.25" hidden="1" customHeight="1">
      <c r="A25" s="3">
        <v>22</v>
      </c>
      <c r="B25" s="3" t="s">
        <v>45</v>
      </c>
      <c r="C25" s="3">
        <v>113</v>
      </c>
      <c r="D25" s="3" t="s">
        <v>14</v>
      </c>
      <c r="E25" s="4">
        <v>37089</v>
      </c>
      <c r="F25" s="3" t="s">
        <v>22</v>
      </c>
      <c r="G25" s="5">
        <v>44553</v>
      </c>
      <c r="H25" s="5">
        <v>44950</v>
      </c>
      <c r="I25" s="3">
        <v>35000</v>
      </c>
      <c r="J25" s="3">
        <v>6</v>
      </c>
      <c r="K25" s="3">
        <v>9260569132</v>
      </c>
      <c r="L25" s="3" t="s">
        <v>20</v>
      </c>
    </row>
    <row r="26" spans="1:12" ht="14.25" customHeight="1">
      <c r="A26" s="3">
        <v>23</v>
      </c>
      <c r="B26" s="3" t="s">
        <v>46</v>
      </c>
      <c r="C26" s="3">
        <v>114</v>
      </c>
      <c r="D26" s="3" t="s">
        <v>18</v>
      </c>
      <c r="E26" s="4">
        <v>33699</v>
      </c>
      <c r="F26" s="3" t="s">
        <v>19</v>
      </c>
      <c r="G26" s="5">
        <v>44577</v>
      </c>
      <c r="H26" s="5">
        <v>45149</v>
      </c>
      <c r="I26" s="3">
        <v>20000</v>
      </c>
      <c r="J26" s="3">
        <v>3</v>
      </c>
      <c r="K26" s="3">
        <v>9521494464</v>
      </c>
      <c r="L26" s="3" t="s">
        <v>16</v>
      </c>
    </row>
    <row r="27" spans="1:12" ht="14.25" hidden="1" customHeight="1">
      <c r="A27" s="3">
        <v>24</v>
      </c>
      <c r="B27" s="3" t="s">
        <v>47</v>
      </c>
      <c r="C27" s="3">
        <v>115</v>
      </c>
      <c r="D27" s="3" t="s">
        <v>18</v>
      </c>
      <c r="E27" s="4">
        <v>35431</v>
      </c>
      <c r="F27" s="3" t="s">
        <v>22</v>
      </c>
      <c r="G27" s="5">
        <v>44507</v>
      </c>
      <c r="H27" s="5">
        <v>44885</v>
      </c>
      <c r="I27" s="3">
        <v>18000</v>
      </c>
      <c r="J27" s="3">
        <v>7</v>
      </c>
      <c r="K27" s="3">
        <v>9592356344</v>
      </c>
      <c r="L27" s="3" t="s">
        <v>16</v>
      </c>
    </row>
    <row r="28" spans="1:12" ht="14.25" hidden="1" customHeight="1">
      <c r="A28" s="3">
        <v>25</v>
      </c>
      <c r="B28" s="3" t="s">
        <v>48</v>
      </c>
      <c r="C28" s="3">
        <v>116</v>
      </c>
      <c r="D28" s="3" t="s">
        <v>18</v>
      </c>
      <c r="E28" s="4">
        <v>37062</v>
      </c>
      <c r="F28" s="3" t="s">
        <v>22</v>
      </c>
      <c r="G28" s="5">
        <v>44456</v>
      </c>
      <c r="H28" s="5">
        <v>44872</v>
      </c>
      <c r="I28" s="3">
        <v>20000</v>
      </c>
      <c r="J28" s="3">
        <v>10</v>
      </c>
      <c r="K28" s="3">
        <v>9420689442</v>
      </c>
      <c r="L28" s="3" t="s">
        <v>20</v>
      </c>
    </row>
    <row r="29" spans="1:12" ht="14.25" hidden="1" customHeight="1">
      <c r="A29" s="3">
        <v>26</v>
      </c>
      <c r="B29" s="3" t="s">
        <v>49</v>
      </c>
      <c r="C29" s="3">
        <v>117</v>
      </c>
      <c r="D29" s="3" t="s">
        <v>18</v>
      </c>
      <c r="E29" s="4">
        <v>33962</v>
      </c>
      <c r="F29" s="3" t="s">
        <v>25</v>
      </c>
      <c r="G29" s="5">
        <v>44417</v>
      </c>
      <c r="H29" s="5">
        <v>44946</v>
      </c>
      <c r="I29" s="3">
        <v>20000</v>
      </c>
      <c r="J29" s="3">
        <v>10</v>
      </c>
      <c r="K29" s="3">
        <v>9323047053</v>
      </c>
      <c r="L29" s="3" t="s">
        <v>27</v>
      </c>
    </row>
    <row r="30" spans="1:12" ht="14.25" hidden="1" customHeight="1">
      <c r="A30" s="3">
        <v>27</v>
      </c>
      <c r="B30" s="3" t="s">
        <v>50</v>
      </c>
      <c r="C30" s="3">
        <v>118</v>
      </c>
      <c r="D30" s="3" t="s">
        <v>14</v>
      </c>
      <c r="E30" s="4">
        <v>36619</v>
      </c>
      <c r="F30" s="3" t="s">
        <v>25</v>
      </c>
      <c r="G30" s="5">
        <v>44395</v>
      </c>
      <c r="H30" s="5">
        <v>44512</v>
      </c>
      <c r="I30" s="3">
        <v>35000</v>
      </c>
      <c r="J30" s="3">
        <v>7</v>
      </c>
      <c r="K30" s="3">
        <v>9175236256</v>
      </c>
      <c r="L30" s="3" t="s">
        <v>29</v>
      </c>
    </row>
    <row r="31" spans="1:12" ht="14.25" hidden="1" customHeight="1">
      <c r="A31" s="3">
        <v>28</v>
      </c>
      <c r="B31" s="3" t="s">
        <v>51</v>
      </c>
      <c r="C31" s="3">
        <v>119</v>
      </c>
      <c r="D31" s="3" t="s">
        <v>14</v>
      </c>
      <c r="E31" s="4">
        <v>35339</v>
      </c>
      <c r="F31" s="3" t="s">
        <v>25</v>
      </c>
      <c r="G31" s="5">
        <v>44517</v>
      </c>
      <c r="H31" s="5">
        <v>44926</v>
      </c>
      <c r="I31" s="3">
        <v>35000</v>
      </c>
      <c r="J31" s="3">
        <v>6</v>
      </c>
      <c r="K31" s="3">
        <v>9650155772</v>
      </c>
      <c r="L31" s="3" t="s">
        <v>20</v>
      </c>
    </row>
    <row r="32" spans="1:12" ht="14.25" hidden="1" customHeight="1">
      <c r="A32" s="3">
        <v>29</v>
      </c>
      <c r="B32" s="3" t="s">
        <v>52</v>
      </c>
      <c r="C32" s="3">
        <v>110</v>
      </c>
      <c r="D32" s="3" t="s">
        <v>14</v>
      </c>
      <c r="E32" s="4">
        <v>34578</v>
      </c>
      <c r="F32" s="3" t="s">
        <v>15</v>
      </c>
      <c r="G32" s="5">
        <v>44357</v>
      </c>
      <c r="H32" s="5">
        <v>44560</v>
      </c>
      <c r="I32" s="3">
        <v>10000</v>
      </c>
      <c r="J32" s="3">
        <v>7</v>
      </c>
      <c r="K32" s="3">
        <v>9108489803</v>
      </c>
      <c r="L32" s="3" t="s">
        <v>32</v>
      </c>
    </row>
    <row r="33" spans="1:12" ht="14.25" hidden="1" customHeight="1">
      <c r="A33" s="3">
        <v>30</v>
      </c>
      <c r="B33" s="3" t="s">
        <v>53</v>
      </c>
      <c r="C33" s="3">
        <v>111</v>
      </c>
      <c r="D33" s="3" t="s">
        <v>14</v>
      </c>
      <c r="E33" s="4">
        <v>34635</v>
      </c>
      <c r="F33" s="3" t="s">
        <v>25</v>
      </c>
      <c r="G33" s="5">
        <v>44409</v>
      </c>
      <c r="H33" s="5">
        <v>45060</v>
      </c>
      <c r="I33" s="3">
        <v>18000</v>
      </c>
      <c r="J33" s="3">
        <v>5</v>
      </c>
      <c r="K33" s="3">
        <v>9175153983</v>
      </c>
      <c r="L33" s="3" t="s">
        <v>16</v>
      </c>
    </row>
    <row r="34" spans="1:12" ht="14.25" hidden="1" customHeight="1">
      <c r="A34" s="3">
        <v>31</v>
      </c>
      <c r="B34" s="3" t="s">
        <v>54</v>
      </c>
      <c r="C34" s="3">
        <v>112</v>
      </c>
      <c r="D34" s="3" t="s">
        <v>18</v>
      </c>
      <c r="E34" s="4">
        <v>37176</v>
      </c>
      <c r="F34" s="3" t="s">
        <v>22</v>
      </c>
      <c r="G34" s="5">
        <v>44325</v>
      </c>
      <c r="H34" s="5">
        <v>44976</v>
      </c>
      <c r="I34" s="3">
        <v>10000</v>
      </c>
      <c r="J34" s="3">
        <v>3</v>
      </c>
      <c r="K34" s="3">
        <v>9256089954</v>
      </c>
      <c r="L34" s="3" t="s">
        <v>32</v>
      </c>
    </row>
    <row r="35" spans="1:12" ht="14.25" hidden="1" customHeight="1">
      <c r="A35" s="3">
        <v>32</v>
      </c>
      <c r="B35" s="3" t="s">
        <v>55</v>
      </c>
      <c r="C35" s="3">
        <v>113</v>
      </c>
      <c r="D35" s="3" t="s">
        <v>14</v>
      </c>
      <c r="E35" s="4">
        <v>36068</v>
      </c>
      <c r="F35" s="3" t="s">
        <v>22</v>
      </c>
      <c r="G35" s="5">
        <v>44408</v>
      </c>
      <c r="H35" s="5">
        <v>44988</v>
      </c>
      <c r="I35" s="3">
        <v>35000</v>
      </c>
      <c r="J35" s="3">
        <v>4</v>
      </c>
      <c r="K35" s="3">
        <v>9471908056</v>
      </c>
      <c r="L35" s="3" t="s">
        <v>32</v>
      </c>
    </row>
    <row r="36" spans="1:12" ht="14.25" customHeight="1">
      <c r="A36" s="3">
        <v>33</v>
      </c>
      <c r="B36" s="3" t="s">
        <v>56</v>
      </c>
      <c r="C36" s="3">
        <v>114</v>
      </c>
      <c r="D36" s="3" t="s">
        <v>14</v>
      </c>
      <c r="E36" s="4">
        <v>34912</v>
      </c>
      <c r="F36" s="3" t="s">
        <v>19</v>
      </c>
      <c r="G36" s="5">
        <v>44512</v>
      </c>
      <c r="H36" s="5">
        <v>44625</v>
      </c>
      <c r="I36" s="3">
        <v>35000</v>
      </c>
      <c r="J36" s="3">
        <v>7</v>
      </c>
      <c r="K36" s="3">
        <v>9361742681</v>
      </c>
      <c r="L36" s="3" t="s">
        <v>27</v>
      </c>
    </row>
    <row r="37" spans="1:12" ht="14.25" hidden="1" customHeight="1">
      <c r="A37" s="3">
        <v>34</v>
      </c>
      <c r="B37" s="3" t="s">
        <v>57</v>
      </c>
      <c r="C37" s="3">
        <v>115</v>
      </c>
      <c r="D37" s="3" t="s">
        <v>14</v>
      </c>
      <c r="E37" s="4">
        <v>36437</v>
      </c>
      <c r="F37" s="3" t="s">
        <v>25</v>
      </c>
      <c r="G37" s="5">
        <v>44593</v>
      </c>
      <c r="H37" s="5">
        <v>45316</v>
      </c>
      <c r="I37" s="3">
        <v>20000</v>
      </c>
      <c r="J37" s="3">
        <v>6</v>
      </c>
      <c r="K37" s="3">
        <v>9550307866</v>
      </c>
      <c r="L37" s="3" t="s">
        <v>29</v>
      </c>
    </row>
    <row r="38" spans="1:12" ht="14.25" hidden="1" customHeight="1">
      <c r="A38" s="3">
        <v>35</v>
      </c>
      <c r="B38" s="3" t="s">
        <v>58</v>
      </c>
      <c r="C38" s="3">
        <v>116</v>
      </c>
      <c r="D38" s="3" t="s">
        <v>18</v>
      </c>
      <c r="E38" s="4">
        <v>33535</v>
      </c>
      <c r="F38" s="3" t="s">
        <v>15</v>
      </c>
      <c r="G38" s="5">
        <v>44467</v>
      </c>
      <c r="H38" s="5">
        <v>44659</v>
      </c>
      <c r="I38" s="3">
        <v>10000</v>
      </c>
      <c r="J38" s="3">
        <v>7</v>
      </c>
      <c r="K38" s="3">
        <v>9456201256</v>
      </c>
      <c r="L38" s="3" t="s">
        <v>27</v>
      </c>
    </row>
    <row r="39" spans="1:12" ht="14.25" hidden="1" customHeight="1">
      <c r="A39" s="3">
        <v>36</v>
      </c>
      <c r="B39" s="3" t="s">
        <v>59</v>
      </c>
      <c r="C39" s="3">
        <v>117</v>
      </c>
      <c r="D39" s="3" t="s">
        <v>18</v>
      </c>
      <c r="E39" s="4">
        <v>35077</v>
      </c>
      <c r="F39" s="3" t="s">
        <v>22</v>
      </c>
      <c r="G39" s="5">
        <v>44315</v>
      </c>
      <c r="H39" s="5">
        <v>44668</v>
      </c>
      <c r="I39" s="3">
        <v>10000</v>
      </c>
      <c r="J39" s="3">
        <v>2</v>
      </c>
      <c r="K39" s="3">
        <v>9234670550</v>
      </c>
      <c r="L39" s="3" t="s">
        <v>32</v>
      </c>
    </row>
    <row r="40" spans="1:12" ht="14.25" customHeight="1">
      <c r="A40" s="3">
        <v>37</v>
      </c>
      <c r="B40" s="3" t="s">
        <v>60</v>
      </c>
      <c r="C40" s="3">
        <v>118</v>
      </c>
      <c r="D40" s="3" t="s">
        <v>14</v>
      </c>
      <c r="E40" s="4">
        <v>33690</v>
      </c>
      <c r="F40" s="3" t="s">
        <v>19</v>
      </c>
      <c r="G40" s="5">
        <v>44605</v>
      </c>
      <c r="H40" s="5">
        <v>45179</v>
      </c>
      <c r="I40" s="3">
        <v>35000</v>
      </c>
      <c r="J40" s="3">
        <v>9</v>
      </c>
      <c r="K40" s="3">
        <v>9623465455</v>
      </c>
      <c r="L40" s="3" t="s">
        <v>20</v>
      </c>
    </row>
    <row r="41" spans="1:12" ht="14.25" customHeight="1">
      <c r="A41" s="3">
        <v>38</v>
      </c>
      <c r="B41" s="3" t="s">
        <v>61</v>
      </c>
      <c r="C41" s="3">
        <v>119</v>
      </c>
      <c r="D41" s="3" t="s">
        <v>14</v>
      </c>
      <c r="E41" s="4">
        <v>33880</v>
      </c>
      <c r="F41" s="3" t="s">
        <v>19</v>
      </c>
      <c r="G41" s="5">
        <v>44444</v>
      </c>
      <c r="H41" s="5">
        <v>44931</v>
      </c>
      <c r="I41" s="3">
        <v>10000</v>
      </c>
      <c r="J41" s="3">
        <v>8</v>
      </c>
      <c r="K41" s="3">
        <v>9257334815</v>
      </c>
      <c r="L41" s="3" t="s">
        <v>32</v>
      </c>
    </row>
    <row r="42" spans="1:12" ht="14.25" hidden="1" customHeight="1">
      <c r="A42" s="3">
        <v>39</v>
      </c>
      <c r="B42" s="3" t="s">
        <v>62</v>
      </c>
      <c r="C42" s="3">
        <v>120</v>
      </c>
      <c r="D42" s="3" t="s">
        <v>18</v>
      </c>
      <c r="E42" s="4">
        <v>33960</v>
      </c>
      <c r="F42" s="3" t="s">
        <v>25</v>
      </c>
      <c r="G42" s="5">
        <v>44456</v>
      </c>
      <c r="H42" s="5">
        <v>44940</v>
      </c>
      <c r="I42" s="3">
        <v>35000</v>
      </c>
      <c r="J42" s="3">
        <v>10</v>
      </c>
      <c r="K42" s="3">
        <v>9463131191</v>
      </c>
      <c r="L42" s="3" t="s">
        <v>29</v>
      </c>
    </row>
    <row r="43" spans="1:12" ht="14.25" customHeight="1">
      <c r="A43" s="3">
        <v>40</v>
      </c>
      <c r="B43" s="3" t="s">
        <v>63</v>
      </c>
      <c r="C43" s="3">
        <v>121</v>
      </c>
      <c r="D43" s="3" t="s">
        <v>14</v>
      </c>
      <c r="E43" s="4">
        <v>35680</v>
      </c>
      <c r="F43" s="3" t="s">
        <v>19</v>
      </c>
      <c r="G43" s="5">
        <v>44565</v>
      </c>
      <c r="H43" s="5">
        <v>45215</v>
      </c>
      <c r="I43" s="3">
        <v>18000</v>
      </c>
      <c r="J43" s="3">
        <v>3</v>
      </c>
      <c r="K43" s="3">
        <v>9659532373</v>
      </c>
      <c r="L43" s="3" t="s">
        <v>27</v>
      </c>
    </row>
    <row r="44" spans="1:12" ht="14.2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</row>
    <row r="45" spans="1:12" ht="14.2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</row>
    <row r="46" spans="1:12" ht="14.2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</row>
    <row r="47" spans="1:12" ht="14.2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</row>
    <row r="48" spans="1:12" ht="14.2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L43" xr:uid="{00000000-0001-0000-0A00-000000000000}">
    <filterColumn colId="5">
      <filters>
        <filter val="Hyd"/>
      </filters>
    </filterColumn>
  </autoFilter>
  <mergeCells count="1">
    <mergeCell ref="B1:C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topLeftCell="A14" workbookViewId="0">
      <selection activeCell="O10" sqref="O10"/>
    </sheetView>
  </sheetViews>
  <sheetFormatPr defaultColWidth="14.42578125" defaultRowHeight="15" customHeight="1"/>
  <cols>
    <col min="1" max="1" width="4.42578125" customWidth="1"/>
    <col min="2" max="2" width="16.42578125" customWidth="1"/>
    <col min="3" max="3" width="7.42578125" customWidth="1"/>
    <col min="4" max="4" width="7" customWidth="1"/>
    <col min="5" max="5" width="9.7109375" customWidth="1"/>
    <col min="6" max="6" width="13.140625" customWidth="1"/>
    <col min="7" max="7" width="11.85546875" customWidth="1"/>
    <col min="8" max="8" width="17.5703125" customWidth="1"/>
    <col min="9" max="9" width="5.85546875" style="87" customWidth="1"/>
    <col min="10" max="10" width="14.7109375" customWidth="1"/>
    <col min="11" max="11" width="23.42578125" customWidth="1"/>
    <col min="12" max="12" width="9.7109375" customWidth="1"/>
    <col min="13" max="26" width="8.7109375" customWidth="1"/>
  </cols>
  <sheetData>
    <row r="1" spans="1:12" ht="14.25" customHeight="1">
      <c r="A1" s="97"/>
      <c r="B1" s="113" t="s">
        <v>336</v>
      </c>
      <c r="C1" s="100"/>
      <c r="D1" s="100"/>
      <c r="E1" s="100"/>
      <c r="F1" s="100"/>
      <c r="G1" s="100"/>
      <c r="H1" s="97"/>
      <c r="J1" s="97"/>
      <c r="K1" s="97"/>
      <c r="L1" s="97"/>
    </row>
    <row r="2" spans="1:12" ht="14.25" customHeight="1">
      <c r="A2" s="97"/>
      <c r="B2" s="97"/>
      <c r="C2" s="97"/>
      <c r="D2" s="97"/>
      <c r="E2" s="97"/>
      <c r="F2" s="97"/>
      <c r="G2" s="97"/>
      <c r="H2" s="97"/>
      <c r="J2" s="97"/>
      <c r="K2" s="97"/>
      <c r="L2" s="97"/>
    </row>
    <row r="3" spans="1:12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88" t="s">
        <v>9</v>
      </c>
      <c r="J3" s="2" t="s">
        <v>10</v>
      </c>
      <c r="K3" s="2" t="s">
        <v>11</v>
      </c>
      <c r="L3" s="2" t="s">
        <v>12</v>
      </c>
    </row>
    <row r="4" spans="1:12" ht="14.25" customHeight="1">
      <c r="A4" s="3">
        <v>14</v>
      </c>
      <c r="B4" s="3" t="s">
        <v>37</v>
      </c>
      <c r="C4" s="3">
        <v>115</v>
      </c>
      <c r="D4" s="3" t="s">
        <v>18</v>
      </c>
      <c r="E4" s="4">
        <v>35440</v>
      </c>
      <c r="F4" s="3" t="s">
        <v>15</v>
      </c>
      <c r="G4" s="5">
        <v>44617</v>
      </c>
      <c r="H4" s="5">
        <v>45195</v>
      </c>
      <c r="I4" s="89">
        <v>42000</v>
      </c>
      <c r="J4" s="3">
        <v>10</v>
      </c>
      <c r="K4" s="3">
        <v>9580977285</v>
      </c>
      <c r="L4" s="3" t="s">
        <v>29</v>
      </c>
    </row>
    <row r="5" spans="1:12" ht="14.25" customHeight="1">
      <c r="A5" s="3">
        <v>6</v>
      </c>
      <c r="B5" s="3" t="s">
        <v>26</v>
      </c>
      <c r="C5" s="3">
        <v>117</v>
      </c>
      <c r="D5" s="3" t="s">
        <v>14</v>
      </c>
      <c r="E5" s="4">
        <v>36885</v>
      </c>
      <c r="F5" s="3" t="s">
        <v>22</v>
      </c>
      <c r="G5" s="5">
        <v>44577</v>
      </c>
      <c r="H5" s="5">
        <v>45304</v>
      </c>
      <c r="I5" s="89">
        <v>42000</v>
      </c>
      <c r="J5" s="3">
        <v>9</v>
      </c>
      <c r="K5" s="3">
        <v>9669292876</v>
      </c>
      <c r="L5" s="3" t="s">
        <v>27</v>
      </c>
    </row>
    <row r="6" spans="1:12" ht="14.25" customHeight="1">
      <c r="A6" s="3">
        <v>1</v>
      </c>
      <c r="B6" s="3" t="s">
        <v>13</v>
      </c>
      <c r="C6" s="3">
        <v>112</v>
      </c>
      <c r="D6" s="3" t="s">
        <v>14</v>
      </c>
      <c r="E6" s="4">
        <v>37084</v>
      </c>
      <c r="F6" s="3" t="s">
        <v>15</v>
      </c>
      <c r="G6" s="5">
        <v>44571</v>
      </c>
      <c r="H6" s="5">
        <v>44958</v>
      </c>
      <c r="I6" s="89">
        <v>42000</v>
      </c>
      <c r="J6" s="3">
        <v>8</v>
      </c>
      <c r="K6" s="3">
        <v>9821934908</v>
      </c>
      <c r="L6" s="3" t="s">
        <v>16</v>
      </c>
    </row>
    <row r="7" spans="1:12" ht="14.25" customHeight="1">
      <c r="A7" s="3">
        <v>37</v>
      </c>
      <c r="B7" s="3" t="s">
        <v>60</v>
      </c>
      <c r="C7" s="3">
        <v>118</v>
      </c>
      <c r="D7" s="3" t="s">
        <v>14</v>
      </c>
      <c r="E7" s="4">
        <v>33690</v>
      </c>
      <c r="F7" s="3" t="s">
        <v>19</v>
      </c>
      <c r="G7" s="5">
        <v>44605</v>
      </c>
      <c r="H7" s="5">
        <v>45179</v>
      </c>
      <c r="I7" s="89">
        <v>35000</v>
      </c>
      <c r="J7" s="3">
        <v>9</v>
      </c>
      <c r="K7" s="3">
        <v>9623465455</v>
      </c>
      <c r="L7" s="3" t="s">
        <v>20</v>
      </c>
    </row>
    <row r="8" spans="1:12" ht="14.25" customHeight="1">
      <c r="A8" s="3">
        <v>5</v>
      </c>
      <c r="B8" s="3" t="s">
        <v>24</v>
      </c>
      <c r="C8" s="3">
        <v>116</v>
      </c>
      <c r="D8" s="3" t="s">
        <v>18</v>
      </c>
      <c r="E8" s="4">
        <v>35151</v>
      </c>
      <c r="F8" s="3" t="s">
        <v>25</v>
      </c>
      <c r="G8" s="5">
        <v>44571</v>
      </c>
      <c r="H8" s="5">
        <v>45048</v>
      </c>
      <c r="I8" s="89">
        <v>35000</v>
      </c>
      <c r="J8" s="3">
        <v>9</v>
      </c>
      <c r="K8" s="3">
        <v>9726733882</v>
      </c>
      <c r="L8" s="3" t="s">
        <v>20</v>
      </c>
    </row>
    <row r="9" spans="1:12" ht="14.25" customHeight="1">
      <c r="A9" s="3">
        <v>9</v>
      </c>
      <c r="B9" s="3" t="s">
        <v>31</v>
      </c>
      <c r="C9" s="3">
        <v>110</v>
      </c>
      <c r="D9" s="3" t="s">
        <v>14</v>
      </c>
      <c r="E9" s="4">
        <v>36109</v>
      </c>
      <c r="F9" s="3" t="s">
        <v>25</v>
      </c>
      <c r="G9" s="5">
        <v>44556</v>
      </c>
      <c r="H9" s="5">
        <v>44992</v>
      </c>
      <c r="I9" s="89">
        <v>35000</v>
      </c>
      <c r="J9" s="3">
        <v>8</v>
      </c>
      <c r="K9" s="3">
        <v>9511890959</v>
      </c>
      <c r="L9" s="3" t="s">
        <v>32</v>
      </c>
    </row>
    <row r="10" spans="1:12" ht="14.25" customHeight="1">
      <c r="A10" s="3">
        <v>22</v>
      </c>
      <c r="B10" s="3" t="s">
        <v>45</v>
      </c>
      <c r="C10" s="3">
        <v>113</v>
      </c>
      <c r="D10" s="3" t="s">
        <v>14</v>
      </c>
      <c r="E10" s="4">
        <v>37089</v>
      </c>
      <c r="F10" s="3" t="s">
        <v>22</v>
      </c>
      <c r="G10" s="5">
        <v>44553</v>
      </c>
      <c r="H10" s="5">
        <v>44950</v>
      </c>
      <c r="I10" s="89">
        <v>35000</v>
      </c>
      <c r="J10" s="3">
        <v>6</v>
      </c>
      <c r="K10" s="3">
        <v>9260569132</v>
      </c>
      <c r="L10" s="3" t="s">
        <v>20</v>
      </c>
    </row>
    <row r="11" spans="1:12" ht="14.25" customHeight="1">
      <c r="A11" s="3">
        <v>28</v>
      </c>
      <c r="B11" s="3" t="s">
        <v>51</v>
      </c>
      <c r="C11" s="3">
        <v>119</v>
      </c>
      <c r="D11" s="3" t="s">
        <v>14</v>
      </c>
      <c r="E11" s="4">
        <v>35339</v>
      </c>
      <c r="F11" s="3" t="s">
        <v>25</v>
      </c>
      <c r="G11" s="5">
        <v>44517</v>
      </c>
      <c r="H11" s="5">
        <v>44926</v>
      </c>
      <c r="I11" s="89">
        <v>35000</v>
      </c>
      <c r="J11" s="3">
        <v>6</v>
      </c>
      <c r="K11" s="3">
        <v>9650155772</v>
      </c>
      <c r="L11" s="3" t="s">
        <v>20</v>
      </c>
    </row>
    <row r="12" spans="1:12" ht="14.25" customHeight="1">
      <c r="A12" s="3">
        <v>33</v>
      </c>
      <c r="B12" s="3" t="s">
        <v>56</v>
      </c>
      <c r="C12" s="3">
        <v>114</v>
      </c>
      <c r="D12" s="3" t="s">
        <v>14</v>
      </c>
      <c r="E12" s="4">
        <v>34912</v>
      </c>
      <c r="F12" s="3" t="s">
        <v>19</v>
      </c>
      <c r="G12" s="5">
        <v>44512</v>
      </c>
      <c r="H12" s="5">
        <v>44625</v>
      </c>
      <c r="I12" s="89">
        <v>35000</v>
      </c>
      <c r="J12" s="3">
        <v>7</v>
      </c>
      <c r="K12" s="3">
        <v>9361742681</v>
      </c>
      <c r="L12" s="3" t="s">
        <v>27</v>
      </c>
    </row>
    <row r="13" spans="1:12" ht="14.25" customHeight="1">
      <c r="A13" s="3">
        <v>2</v>
      </c>
      <c r="B13" s="3" t="s">
        <v>17</v>
      </c>
      <c r="C13" s="3">
        <v>113</v>
      </c>
      <c r="D13" s="3" t="s">
        <v>18</v>
      </c>
      <c r="E13" s="4">
        <v>35354</v>
      </c>
      <c r="F13" s="3" t="s">
        <v>19</v>
      </c>
      <c r="G13" s="5">
        <v>44507</v>
      </c>
      <c r="H13" s="5">
        <v>45224</v>
      </c>
      <c r="I13" s="89">
        <v>35000</v>
      </c>
      <c r="J13" s="3">
        <v>1</v>
      </c>
      <c r="K13" s="3">
        <v>9543693808</v>
      </c>
      <c r="L13" s="3" t="s">
        <v>20</v>
      </c>
    </row>
    <row r="14" spans="1:12" ht="14.25" customHeight="1">
      <c r="A14" s="3">
        <v>39</v>
      </c>
      <c r="B14" s="3" t="s">
        <v>62</v>
      </c>
      <c r="C14" s="3">
        <v>120</v>
      </c>
      <c r="D14" s="3" t="s">
        <v>18</v>
      </c>
      <c r="E14" s="4">
        <v>33960</v>
      </c>
      <c r="F14" s="3" t="s">
        <v>25</v>
      </c>
      <c r="G14" s="5">
        <v>44456</v>
      </c>
      <c r="H14" s="5">
        <v>44940</v>
      </c>
      <c r="I14" s="89">
        <v>35000</v>
      </c>
      <c r="J14" s="3">
        <v>10</v>
      </c>
      <c r="K14" s="3">
        <v>9463131191</v>
      </c>
      <c r="L14" s="3" t="s">
        <v>29</v>
      </c>
    </row>
    <row r="15" spans="1:12" ht="14.25" customHeight="1">
      <c r="A15" s="3">
        <v>32</v>
      </c>
      <c r="B15" s="3" t="s">
        <v>55</v>
      </c>
      <c r="C15" s="3">
        <v>113</v>
      </c>
      <c r="D15" s="3" t="s">
        <v>14</v>
      </c>
      <c r="E15" s="4">
        <v>36068</v>
      </c>
      <c r="F15" s="3" t="s">
        <v>22</v>
      </c>
      <c r="G15" s="5">
        <v>44408</v>
      </c>
      <c r="H15" s="5">
        <v>44988</v>
      </c>
      <c r="I15" s="89">
        <v>35000</v>
      </c>
      <c r="J15" s="3">
        <v>4</v>
      </c>
      <c r="K15" s="3">
        <v>9471908056</v>
      </c>
      <c r="L15" s="3" t="s">
        <v>32</v>
      </c>
    </row>
    <row r="16" spans="1:12" ht="14.25" customHeight="1">
      <c r="A16" s="3">
        <v>3</v>
      </c>
      <c r="B16" s="3" t="s">
        <v>21</v>
      </c>
      <c r="C16" s="3">
        <v>114</v>
      </c>
      <c r="D16" s="3" t="s">
        <v>14</v>
      </c>
      <c r="E16" s="4">
        <v>33266</v>
      </c>
      <c r="F16" s="3" t="s">
        <v>22</v>
      </c>
      <c r="G16" s="5">
        <v>44407</v>
      </c>
      <c r="H16" s="5">
        <v>44558</v>
      </c>
      <c r="I16" s="89">
        <v>35000</v>
      </c>
      <c r="J16" s="3">
        <v>3</v>
      </c>
      <c r="K16" s="3">
        <v>9493205498</v>
      </c>
      <c r="L16" s="3" t="s">
        <v>16</v>
      </c>
    </row>
    <row r="17" spans="1:12" ht="14.25" customHeight="1">
      <c r="A17" s="3">
        <v>13</v>
      </c>
      <c r="B17" s="3" t="s">
        <v>36</v>
      </c>
      <c r="C17" s="3">
        <v>114</v>
      </c>
      <c r="D17" s="3" t="s">
        <v>18</v>
      </c>
      <c r="E17" s="4">
        <v>37121</v>
      </c>
      <c r="F17" s="3" t="s">
        <v>25</v>
      </c>
      <c r="G17" s="5">
        <v>44395</v>
      </c>
      <c r="H17" s="5">
        <v>45049</v>
      </c>
      <c r="I17" s="89">
        <v>35000</v>
      </c>
      <c r="J17" s="3">
        <v>8</v>
      </c>
      <c r="K17" s="3">
        <v>9412491495</v>
      </c>
      <c r="L17" s="3" t="s">
        <v>27</v>
      </c>
    </row>
    <row r="18" spans="1:12" ht="14.25" customHeight="1">
      <c r="A18" s="3">
        <v>27</v>
      </c>
      <c r="B18" s="3" t="s">
        <v>50</v>
      </c>
      <c r="C18" s="3">
        <v>118</v>
      </c>
      <c r="D18" s="3" t="s">
        <v>14</v>
      </c>
      <c r="E18" s="4">
        <v>36619</v>
      </c>
      <c r="F18" s="3" t="s">
        <v>25</v>
      </c>
      <c r="G18" s="5">
        <v>44395</v>
      </c>
      <c r="H18" s="5">
        <v>44512</v>
      </c>
      <c r="I18" s="89">
        <v>35000</v>
      </c>
      <c r="J18" s="3">
        <v>7</v>
      </c>
      <c r="K18" s="3">
        <v>9175236256</v>
      </c>
      <c r="L18" s="3" t="s">
        <v>29</v>
      </c>
    </row>
    <row r="19" spans="1:12" ht="14.25" customHeight="1">
      <c r="A19" s="3">
        <v>18</v>
      </c>
      <c r="B19" s="3" t="s">
        <v>41</v>
      </c>
      <c r="C19" s="3">
        <v>119</v>
      </c>
      <c r="D19" s="3" t="s">
        <v>18</v>
      </c>
      <c r="E19" s="4">
        <v>35239</v>
      </c>
      <c r="F19" s="3" t="s">
        <v>19</v>
      </c>
      <c r="G19" s="5">
        <v>44332</v>
      </c>
      <c r="H19" s="5">
        <v>44673</v>
      </c>
      <c r="I19" s="89">
        <v>35000</v>
      </c>
      <c r="J19" s="3">
        <v>9</v>
      </c>
      <c r="K19" s="3">
        <v>9356037554</v>
      </c>
      <c r="L19" s="3" t="s">
        <v>32</v>
      </c>
    </row>
    <row r="20" spans="1:12" ht="14.25" customHeight="1">
      <c r="A20" s="3">
        <v>19</v>
      </c>
      <c r="B20" s="3" t="s">
        <v>42</v>
      </c>
      <c r="C20" s="3">
        <v>120</v>
      </c>
      <c r="D20" s="3" t="s">
        <v>18</v>
      </c>
      <c r="E20" s="4">
        <v>33573</v>
      </c>
      <c r="F20" s="3" t="s">
        <v>15</v>
      </c>
      <c r="G20" s="5">
        <v>44604</v>
      </c>
      <c r="H20" s="5">
        <v>45195</v>
      </c>
      <c r="I20" s="89">
        <v>20000</v>
      </c>
      <c r="J20" s="3">
        <v>3</v>
      </c>
      <c r="K20" s="3">
        <v>9816090272</v>
      </c>
      <c r="L20" s="3" t="s">
        <v>29</v>
      </c>
    </row>
    <row r="21" spans="1:12" ht="14.25" customHeight="1">
      <c r="A21" s="3">
        <v>34</v>
      </c>
      <c r="B21" s="3" t="s">
        <v>57</v>
      </c>
      <c r="C21" s="3">
        <v>115</v>
      </c>
      <c r="D21" s="3" t="s">
        <v>14</v>
      </c>
      <c r="E21" s="4">
        <v>36437</v>
      </c>
      <c r="F21" s="3" t="s">
        <v>25</v>
      </c>
      <c r="G21" s="5">
        <v>44593</v>
      </c>
      <c r="H21" s="5">
        <v>45316</v>
      </c>
      <c r="I21" s="89">
        <v>20000</v>
      </c>
      <c r="J21" s="3">
        <v>6</v>
      </c>
      <c r="K21" s="3">
        <v>9550307866</v>
      </c>
      <c r="L21" s="3" t="s">
        <v>29</v>
      </c>
    </row>
    <row r="22" spans="1:12" ht="14.25" customHeight="1">
      <c r="A22" s="3">
        <v>23</v>
      </c>
      <c r="B22" s="3" t="s">
        <v>46</v>
      </c>
      <c r="C22" s="3">
        <v>114</v>
      </c>
      <c r="D22" s="3" t="s">
        <v>18</v>
      </c>
      <c r="E22" s="4">
        <v>33699</v>
      </c>
      <c r="F22" s="3" t="s">
        <v>19</v>
      </c>
      <c r="G22" s="5">
        <v>44577</v>
      </c>
      <c r="H22" s="5">
        <v>45149</v>
      </c>
      <c r="I22" s="89">
        <v>20000</v>
      </c>
      <c r="J22" s="3">
        <v>3</v>
      </c>
      <c r="K22" s="3">
        <v>9521494464</v>
      </c>
      <c r="L22" s="3" t="s">
        <v>16</v>
      </c>
    </row>
    <row r="23" spans="1:12" ht="14.25" customHeight="1">
      <c r="A23" s="3">
        <v>25</v>
      </c>
      <c r="B23" s="3" t="s">
        <v>48</v>
      </c>
      <c r="C23" s="3">
        <v>116</v>
      </c>
      <c r="D23" s="3" t="s">
        <v>18</v>
      </c>
      <c r="E23" s="4">
        <v>37062</v>
      </c>
      <c r="F23" s="3" t="s">
        <v>22</v>
      </c>
      <c r="G23" s="5">
        <v>44456</v>
      </c>
      <c r="H23" s="5">
        <v>44872</v>
      </c>
      <c r="I23" s="89">
        <v>20000</v>
      </c>
      <c r="J23" s="3">
        <v>10</v>
      </c>
      <c r="K23" s="3">
        <v>9420689442</v>
      </c>
      <c r="L23" s="3" t="s">
        <v>20</v>
      </c>
    </row>
    <row r="24" spans="1:12" ht="14.25" customHeight="1">
      <c r="A24" s="3">
        <v>20</v>
      </c>
      <c r="B24" s="3" t="s">
        <v>43</v>
      </c>
      <c r="C24" s="3">
        <v>121</v>
      </c>
      <c r="D24" s="3" t="s">
        <v>18</v>
      </c>
      <c r="E24" s="4">
        <v>36573</v>
      </c>
      <c r="F24" s="3" t="s">
        <v>15</v>
      </c>
      <c r="G24" s="5">
        <v>44438</v>
      </c>
      <c r="H24" s="5">
        <v>44857</v>
      </c>
      <c r="I24" s="89">
        <v>20000</v>
      </c>
      <c r="J24" s="3">
        <v>6</v>
      </c>
      <c r="K24" s="3">
        <v>9372396296</v>
      </c>
      <c r="L24" s="3" t="s">
        <v>27</v>
      </c>
    </row>
    <row r="25" spans="1:12" ht="14.25" customHeight="1">
      <c r="A25" s="3">
        <v>26</v>
      </c>
      <c r="B25" s="3" t="s">
        <v>49</v>
      </c>
      <c r="C25" s="3">
        <v>117</v>
      </c>
      <c r="D25" s="3" t="s">
        <v>18</v>
      </c>
      <c r="E25" s="4">
        <v>33962</v>
      </c>
      <c r="F25" s="3" t="s">
        <v>25</v>
      </c>
      <c r="G25" s="5">
        <v>44417</v>
      </c>
      <c r="H25" s="5">
        <v>44946</v>
      </c>
      <c r="I25" s="89">
        <v>20000</v>
      </c>
      <c r="J25" s="3">
        <v>10</v>
      </c>
      <c r="K25" s="3">
        <v>9323047053</v>
      </c>
      <c r="L25" s="3" t="s">
        <v>27</v>
      </c>
    </row>
    <row r="26" spans="1:12" ht="14.25" customHeight="1">
      <c r="A26" s="3">
        <v>12</v>
      </c>
      <c r="B26" s="3" t="s">
        <v>35</v>
      </c>
      <c r="C26" s="3">
        <v>113</v>
      </c>
      <c r="D26" s="3" t="s">
        <v>14</v>
      </c>
      <c r="E26" s="4">
        <v>35710</v>
      </c>
      <c r="F26" s="3" t="s">
        <v>22</v>
      </c>
      <c r="G26" s="5">
        <v>44382</v>
      </c>
      <c r="H26" s="5">
        <v>44681</v>
      </c>
      <c r="I26" s="89">
        <v>20000</v>
      </c>
      <c r="J26" s="3">
        <v>1</v>
      </c>
      <c r="K26" s="3">
        <v>9903668284</v>
      </c>
      <c r="L26" s="3" t="s">
        <v>32</v>
      </c>
    </row>
    <row r="27" spans="1:12" ht="14.25" customHeight="1">
      <c r="A27" s="3">
        <v>15</v>
      </c>
      <c r="B27" s="3" t="s">
        <v>38</v>
      </c>
      <c r="C27" s="3">
        <v>116</v>
      </c>
      <c r="D27" s="3" t="s">
        <v>14</v>
      </c>
      <c r="E27" s="4">
        <v>35105</v>
      </c>
      <c r="F27" s="3" t="s">
        <v>22</v>
      </c>
      <c r="G27" s="5">
        <v>44300</v>
      </c>
      <c r="H27" s="5">
        <v>44785</v>
      </c>
      <c r="I27" s="89">
        <v>20000</v>
      </c>
      <c r="J27" s="3">
        <v>2</v>
      </c>
      <c r="K27" s="3">
        <v>9543199239</v>
      </c>
      <c r="L27" s="3" t="s">
        <v>27</v>
      </c>
    </row>
    <row r="28" spans="1:12" ht="14.25" customHeight="1">
      <c r="A28" s="3">
        <v>40</v>
      </c>
      <c r="B28" s="3" t="s">
        <v>63</v>
      </c>
      <c r="C28" s="3">
        <v>121</v>
      </c>
      <c r="D28" s="3" t="s">
        <v>14</v>
      </c>
      <c r="E28" s="4">
        <v>35680</v>
      </c>
      <c r="F28" s="3" t="s">
        <v>19</v>
      </c>
      <c r="G28" s="5">
        <v>44565</v>
      </c>
      <c r="H28" s="5">
        <v>45215</v>
      </c>
      <c r="I28" s="89">
        <v>18000</v>
      </c>
      <c r="J28" s="3">
        <v>3</v>
      </c>
      <c r="K28" s="3">
        <v>9659532373</v>
      </c>
      <c r="L28" s="3" t="s">
        <v>27</v>
      </c>
    </row>
    <row r="29" spans="1:12" ht="14.25" customHeight="1">
      <c r="A29" s="3">
        <v>24</v>
      </c>
      <c r="B29" s="3" t="s">
        <v>47</v>
      </c>
      <c r="C29" s="3">
        <v>115</v>
      </c>
      <c r="D29" s="3" t="s">
        <v>18</v>
      </c>
      <c r="E29" s="4">
        <v>35431</v>
      </c>
      <c r="F29" s="3" t="s">
        <v>22</v>
      </c>
      <c r="G29" s="5">
        <v>44507</v>
      </c>
      <c r="H29" s="5">
        <v>44885</v>
      </c>
      <c r="I29" s="89">
        <v>18000</v>
      </c>
      <c r="J29" s="3">
        <v>7</v>
      </c>
      <c r="K29" s="3">
        <v>9592356344</v>
      </c>
      <c r="L29" s="3" t="s">
        <v>16</v>
      </c>
    </row>
    <row r="30" spans="1:12" ht="14.25" customHeight="1">
      <c r="A30" s="3">
        <v>8</v>
      </c>
      <c r="B30" s="3" t="s">
        <v>30</v>
      </c>
      <c r="C30" s="3">
        <v>119</v>
      </c>
      <c r="D30" s="3" t="s">
        <v>18</v>
      </c>
      <c r="E30" s="4">
        <v>36250</v>
      </c>
      <c r="F30" s="3" t="s">
        <v>19</v>
      </c>
      <c r="G30" s="5">
        <v>44504</v>
      </c>
      <c r="H30" s="5">
        <v>44707</v>
      </c>
      <c r="I30" s="89">
        <v>18000</v>
      </c>
      <c r="J30" s="3">
        <v>3</v>
      </c>
      <c r="K30" s="3">
        <v>9285113634</v>
      </c>
      <c r="L30" s="3" t="s">
        <v>20</v>
      </c>
    </row>
    <row r="31" spans="1:12" ht="14.25" customHeight="1">
      <c r="A31" s="3">
        <v>4</v>
      </c>
      <c r="B31" s="3" t="s">
        <v>23</v>
      </c>
      <c r="C31" s="3">
        <v>115</v>
      </c>
      <c r="D31" s="3" t="s">
        <v>18</v>
      </c>
      <c r="E31" s="4">
        <v>37111</v>
      </c>
      <c r="F31" s="3" t="s">
        <v>22</v>
      </c>
      <c r="G31" s="5">
        <v>44492</v>
      </c>
      <c r="H31" s="5">
        <v>44598</v>
      </c>
      <c r="I31" s="89">
        <v>18000</v>
      </c>
      <c r="J31" s="3">
        <v>5</v>
      </c>
      <c r="K31" s="3">
        <v>9136087980</v>
      </c>
      <c r="L31" s="3" t="s">
        <v>16</v>
      </c>
    </row>
    <row r="32" spans="1:12" ht="14.25" customHeight="1">
      <c r="A32" s="3">
        <v>21</v>
      </c>
      <c r="B32" s="3" t="s">
        <v>44</v>
      </c>
      <c r="C32" s="3">
        <v>112</v>
      </c>
      <c r="D32" s="3" t="s">
        <v>14</v>
      </c>
      <c r="E32" s="4">
        <v>37047</v>
      </c>
      <c r="F32" s="3" t="s">
        <v>25</v>
      </c>
      <c r="G32" s="5">
        <v>44431</v>
      </c>
      <c r="H32" s="5">
        <v>45038</v>
      </c>
      <c r="I32" s="89">
        <v>18000</v>
      </c>
      <c r="J32" s="3">
        <v>1</v>
      </c>
      <c r="K32" s="3">
        <v>9756436801</v>
      </c>
      <c r="L32" s="3" t="s">
        <v>16</v>
      </c>
    </row>
    <row r="33" spans="1:12" ht="14.25" customHeight="1">
      <c r="A33" s="3">
        <v>30</v>
      </c>
      <c r="B33" s="3" t="s">
        <v>53</v>
      </c>
      <c r="C33" s="3">
        <v>111</v>
      </c>
      <c r="D33" s="3" t="s">
        <v>14</v>
      </c>
      <c r="E33" s="4">
        <v>34635</v>
      </c>
      <c r="F33" s="3" t="s">
        <v>25</v>
      </c>
      <c r="G33" s="5">
        <v>44409</v>
      </c>
      <c r="H33" s="5">
        <v>45060</v>
      </c>
      <c r="I33" s="89">
        <v>18000</v>
      </c>
      <c r="J33" s="3">
        <v>5</v>
      </c>
      <c r="K33" s="3">
        <v>9175153983</v>
      </c>
      <c r="L33" s="3" t="s">
        <v>16</v>
      </c>
    </row>
    <row r="34" spans="1:12" ht="14.25" customHeight="1">
      <c r="A34" s="3">
        <v>10</v>
      </c>
      <c r="B34" s="3" t="s">
        <v>33</v>
      </c>
      <c r="C34" s="3">
        <v>111</v>
      </c>
      <c r="D34" s="3" t="s">
        <v>18</v>
      </c>
      <c r="E34" s="4">
        <v>34701</v>
      </c>
      <c r="F34" s="3" t="s">
        <v>15</v>
      </c>
      <c r="G34" s="5">
        <v>44372</v>
      </c>
      <c r="H34" s="5">
        <v>44835</v>
      </c>
      <c r="I34" s="89">
        <v>18000</v>
      </c>
      <c r="J34" s="3">
        <v>2</v>
      </c>
      <c r="K34" s="3">
        <v>9178537741</v>
      </c>
      <c r="L34" s="3" t="s">
        <v>16</v>
      </c>
    </row>
    <row r="35" spans="1:12" ht="14.25" customHeight="1">
      <c r="A35" s="3">
        <v>16</v>
      </c>
      <c r="B35" s="3" t="s">
        <v>39</v>
      </c>
      <c r="C35" s="3">
        <v>117</v>
      </c>
      <c r="D35" s="3" t="s">
        <v>14</v>
      </c>
      <c r="E35" s="4">
        <v>35649</v>
      </c>
      <c r="F35" s="3" t="s">
        <v>25</v>
      </c>
      <c r="G35" s="5">
        <v>44565</v>
      </c>
      <c r="H35" s="5">
        <v>44725</v>
      </c>
      <c r="I35" s="89">
        <v>10000</v>
      </c>
      <c r="J35" s="3">
        <v>7</v>
      </c>
      <c r="K35" s="3">
        <v>9712763149</v>
      </c>
      <c r="L35" s="3" t="s">
        <v>32</v>
      </c>
    </row>
    <row r="36" spans="1:12" ht="14.25" customHeight="1">
      <c r="A36" s="3">
        <v>17</v>
      </c>
      <c r="B36" s="3" t="s">
        <v>40</v>
      </c>
      <c r="C36" s="3">
        <v>118</v>
      </c>
      <c r="D36" s="3" t="s">
        <v>14</v>
      </c>
      <c r="E36" s="4">
        <v>35946</v>
      </c>
      <c r="F36" s="3" t="s">
        <v>15</v>
      </c>
      <c r="G36" s="5">
        <v>44494</v>
      </c>
      <c r="H36" s="5">
        <v>45097</v>
      </c>
      <c r="I36" s="89">
        <v>10000</v>
      </c>
      <c r="J36" s="3">
        <v>5</v>
      </c>
      <c r="K36" s="3">
        <v>9750297284</v>
      </c>
      <c r="L36" s="3" t="s">
        <v>20</v>
      </c>
    </row>
    <row r="37" spans="1:12" ht="14.25" customHeight="1">
      <c r="A37" s="3">
        <v>35</v>
      </c>
      <c r="B37" s="3" t="s">
        <v>58</v>
      </c>
      <c r="C37" s="3">
        <v>116</v>
      </c>
      <c r="D37" s="3" t="s">
        <v>18</v>
      </c>
      <c r="E37" s="4">
        <v>33535</v>
      </c>
      <c r="F37" s="3" t="s">
        <v>15</v>
      </c>
      <c r="G37" s="5">
        <v>44467</v>
      </c>
      <c r="H37" s="5">
        <v>44659</v>
      </c>
      <c r="I37" s="89">
        <v>10000</v>
      </c>
      <c r="J37" s="3">
        <v>7</v>
      </c>
      <c r="K37" s="3">
        <v>9456201256</v>
      </c>
      <c r="L37" s="3" t="s">
        <v>27</v>
      </c>
    </row>
    <row r="38" spans="1:12" ht="14.25" customHeight="1">
      <c r="A38" s="3">
        <v>38</v>
      </c>
      <c r="B38" s="3" t="s">
        <v>61</v>
      </c>
      <c r="C38" s="3">
        <v>119</v>
      </c>
      <c r="D38" s="3" t="s">
        <v>14</v>
      </c>
      <c r="E38" s="4">
        <v>33880</v>
      </c>
      <c r="F38" s="3" t="s">
        <v>19</v>
      </c>
      <c r="G38" s="5">
        <v>44444</v>
      </c>
      <c r="H38" s="5">
        <v>44931</v>
      </c>
      <c r="I38" s="89">
        <v>10000</v>
      </c>
      <c r="J38" s="3">
        <v>8</v>
      </c>
      <c r="K38" s="3">
        <v>9257334815</v>
      </c>
      <c r="L38" s="3" t="s">
        <v>32</v>
      </c>
    </row>
    <row r="39" spans="1:12" ht="14.25" customHeight="1">
      <c r="A39" s="3">
        <v>7</v>
      </c>
      <c r="B39" s="3" t="s">
        <v>28</v>
      </c>
      <c r="C39" s="3">
        <v>118</v>
      </c>
      <c r="D39" s="3" t="s">
        <v>14</v>
      </c>
      <c r="E39" s="4">
        <v>34319</v>
      </c>
      <c r="F39" s="3" t="s">
        <v>25</v>
      </c>
      <c r="G39" s="5">
        <v>44424</v>
      </c>
      <c r="H39" s="5">
        <v>45054</v>
      </c>
      <c r="I39" s="89">
        <v>10000</v>
      </c>
      <c r="J39" s="3">
        <v>9</v>
      </c>
      <c r="K39" s="3">
        <v>9315204195</v>
      </c>
      <c r="L39" s="3" t="s">
        <v>29</v>
      </c>
    </row>
    <row r="40" spans="1:12" ht="14.25" customHeight="1">
      <c r="A40" s="3">
        <v>29</v>
      </c>
      <c r="B40" s="3" t="s">
        <v>52</v>
      </c>
      <c r="C40" s="3">
        <v>110</v>
      </c>
      <c r="D40" s="3" t="s">
        <v>14</v>
      </c>
      <c r="E40" s="4">
        <v>34578</v>
      </c>
      <c r="F40" s="3" t="s">
        <v>15</v>
      </c>
      <c r="G40" s="5">
        <v>44357</v>
      </c>
      <c r="H40" s="5">
        <v>44560</v>
      </c>
      <c r="I40" s="89">
        <v>10000</v>
      </c>
      <c r="J40" s="3">
        <v>7</v>
      </c>
      <c r="K40" s="3">
        <v>9108489803</v>
      </c>
      <c r="L40" s="3" t="s">
        <v>32</v>
      </c>
    </row>
    <row r="41" spans="1:12" ht="14.25" customHeight="1">
      <c r="A41" s="3">
        <v>31</v>
      </c>
      <c r="B41" s="3" t="s">
        <v>54</v>
      </c>
      <c r="C41" s="3">
        <v>112</v>
      </c>
      <c r="D41" s="3" t="s">
        <v>18</v>
      </c>
      <c r="E41" s="4">
        <v>37176</v>
      </c>
      <c r="F41" s="3" t="s">
        <v>22</v>
      </c>
      <c r="G41" s="5">
        <v>44325</v>
      </c>
      <c r="H41" s="5">
        <v>44976</v>
      </c>
      <c r="I41" s="89">
        <v>10000</v>
      </c>
      <c r="J41" s="3">
        <v>3</v>
      </c>
      <c r="K41" s="3">
        <v>9256089954</v>
      </c>
      <c r="L41" s="3" t="s">
        <v>32</v>
      </c>
    </row>
    <row r="42" spans="1:12" ht="14.25" customHeight="1">
      <c r="A42" s="3">
        <v>36</v>
      </c>
      <c r="B42" s="3" t="s">
        <v>59</v>
      </c>
      <c r="C42" s="3">
        <v>117</v>
      </c>
      <c r="D42" s="3" t="s">
        <v>18</v>
      </c>
      <c r="E42" s="4">
        <v>35077</v>
      </c>
      <c r="F42" s="3" t="s">
        <v>22</v>
      </c>
      <c r="G42" s="5">
        <v>44315</v>
      </c>
      <c r="H42" s="5">
        <v>44668</v>
      </c>
      <c r="I42" s="89">
        <v>10000</v>
      </c>
      <c r="J42" s="3">
        <v>2</v>
      </c>
      <c r="K42" s="3">
        <v>9234670550</v>
      </c>
      <c r="L42" s="3" t="s">
        <v>32</v>
      </c>
    </row>
    <row r="43" spans="1:12" ht="14.25" customHeight="1">
      <c r="A43" s="3">
        <v>11</v>
      </c>
      <c r="B43" s="3" t="s">
        <v>34</v>
      </c>
      <c r="C43" s="3">
        <v>112</v>
      </c>
      <c r="D43" s="3" t="s">
        <v>14</v>
      </c>
      <c r="E43" s="4">
        <v>35642</v>
      </c>
      <c r="F43" s="3" t="s">
        <v>25</v>
      </c>
      <c r="G43" s="5">
        <v>44308</v>
      </c>
      <c r="H43" s="5">
        <v>44677</v>
      </c>
      <c r="I43" s="89">
        <v>10000</v>
      </c>
      <c r="J43" s="3">
        <v>7</v>
      </c>
      <c r="K43" s="3">
        <v>9563258827</v>
      </c>
      <c r="L43" s="3" t="s">
        <v>32</v>
      </c>
    </row>
    <row r="44" spans="1:12" ht="14.25" customHeight="1">
      <c r="A44" s="97"/>
      <c r="B44" s="97"/>
      <c r="C44" s="97"/>
      <c r="D44" s="97"/>
      <c r="E44" s="97"/>
      <c r="F44" s="97"/>
      <c r="G44" s="97"/>
      <c r="H44" s="97"/>
      <c r="J44" s="97"/>
      <c r="K44" s="97"/>
      <c r="L44" s="97"/>
    </row>
    <row r="45" spans="1:12" ht="14.25" customHeight="1">
      <c r="A45" s="97"/>
      <c r="B45" s="97"/>
      <c r="C45" s="97"/>
      <c r="D45" s="97"/>
      <c r="E45" s="97"/>
      <c r="F45" s="97"/>
      <c r="G45" s="97"/>
      <c r="H45" s="97"/>
      <c r="J45" s="97"/>
      <c r="K45" s="97"/>
      <c r="L45" s="97"/>
    </row>
    <row r="46" spans="1:12" ht="14.25" customHeight="1">
      <c r="A46" s="97"/>
      <c r="B46" s="97"/>
      <c r="C46" s="97"/>
      <c r="D46" s="97"/>
      <c r="E46" s="97"/>
      <c r="F46" s="97"/>
      <c r="G46" s="97"/>
      <c r="H46" s="97"/>
      <c r="J46" s="97"/>
      <c r="K46" s="97"/>
      <c r="L46" s="97"/>
    </row>
    <row r="47" spans="1:12" ht="14.25" customHeight="1">
      <c r="A47" s="97"/>
      <c r="B47" s="97"/>
      <c r="C47" s="97"/>
      <c r="D47" s="97"/>
      <c r="E47" s="97"/>
      <c r="F47" s="97"/>
      <c r="G47" s="97"/>
      <c r="H47" s="97"/>
      <c r="J47" s="97"/>
      <c r="K47" s="97"/>
      <c r="L47" s="97"/>
    </row>
    <row r="48" spans="1:12" ht="14.25" customHeight="1">
      <c r="A48" s="97"/>
      <c r="B48" s="97"/>
      <c r="C48" s="97"/>
      <c r="D48" s="97"/>
      <c r="E48" s="97"/>
      <c r="F48" s="97"/>
      <c r="G48" s="97"/>
      <c r="H48" s="97"/>
      <c r="J48" s="97"/>
      <c r="K48" s="97"/>
      <c r="L48" s="9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4:L43">
    <sortCondition descending="1" ref="I4:I43"/>
  </sortState>
  <mergeCells count="1">
    <mergeCell ref="B1:G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workbookViewId="0">
      <selection activeCell="B4" sqref="B4"/>
    </sheetView>
  </sheetViews>
  <sheetFormatPr defaultColWidth="14.42578125" defaultRowHeight="15" customHeight="1"/>
  <cols>
    <col min="1" max="1" width="4.42578125" customWidth="1"/>
    <col min="2" max="2" width="16.42578125" customWidth="1"/>
    <col min="3" max="3" width="7.42578125" customWidth="1"/>
    <col min="4" max="4" width="7" customWidth="1"/>
    <col min="5" max="5" width="9.7109375" customWidth="1"/>
    <col min="6" max="6" width="13.140625" customWidth="1"/>
    <col min="7" max="7" width="11.85546875" customWidth="1"/>
    <col min="8" max="8" width="17.5703125" customWidth="1"/>
    <col min="9" max="9" width="5.85546875" customWidth="1"/>
    <col min="10" max="10" width="14.7109375" customWidth="1"/>
    <col min="11" max="11" width="23.42578125" customWidth="1"/>
    <col min="12" max="12" width="9.7109375" customWidth="1"/>
    <col min="13" max="26" width="8.7109375" customWidth="1"/>
  </cols>
  <sheetData>
    <row r="1" spans="1:12" ht="14.25" customHeight="1">
      <c r="A1" s="97"/>
      <c r="B1" s="113" t="s">
        <v>337</v>
      </c>
      <c r="C1" s="100"/>
      <c r="D1" s="100"/>
      <c r="E1" s="100"/>
      <c r="F1" s="100"/>
      <c r="G1" s="100"/>
      <c r="H1" s="100"/>
      <c r="I1" s="97"/>
      <c r="J1" s="97"/>
      <c r="K1" s="97"/>
      <c r="L1" s="97"/>
    </row>
    <row r="2" spans="1:12" ht="14.25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4.25" customHeight="1">
      <c r="A4" s="3">
        <v>1</v>
      </c>
      <c r="B4" s="3" t="s">
        <v>13</v>
      </c>
      <c r="C4" s="3">
        <v>112</v>
      </c>
      <c r="D4" s="3" t="s">
        <v>14</v>
      </c>
      <c r="E4" s="4">
        <v>37084</v>
      </c>
      <c r="F4" s="3" t="s">
        <v>15</v>
      </c>
      <c r="G4" s="5">
        <v>44571</v>
      </c>
      <c r="H4" s="5">
        <v>44958</v>
      </c>
      <c r="I4" s="3">
        <v>42000</v>
      </c>
      <c r="J4" s="3">
        <v>8</v>
      </c>
      <c r="K4" s="3">
        <v>9821934908</v>
      </c>
      <c r="L4" s="3" t="s">
        <v>16</v>
      </c>
    </row>
    <row r="5" spans="1:12" ht="14.25" customHeight="1">
      <c r="A5" s="3">
        <v>2</v>
      </c>
      <c r="B5" s="3" t="s">
        <v>17</v>
      </c>
      <c r="C5" s="3">
        <v>113</v>
      </c>
      <c r="D5" s="3" t="s">
        <v>18</v>
      </c>
      <c r="E5" s="4">
        <v>35354</v>
      </c>
      <c r="F5" s="3" t="s">
        <v>19</v>
      </c>
      <c r="G5" s="5">
        <v>44507</v>
      </c>
      <c r="H5" s="5">
        <v>45224</v>
      </c>
      <c r="I5" s="3">
        <v>35000</v>
      </c>
      <c r="J5" s="3">
        <v>1</v>
      </c>
      <c r="K5" s="3">
        <v>9543693808</v>
      </c>
      <c r="L5" s="3" t="s">
        <v>20</v>
      </c>
    </row>
    <row r="6" spans="1:12" ht="14.25" customHeight="1">
      <c r="A6" s="3">
        <v>3</v>
      </c>
      <c r="B6" s="3" t="s">
        <v>21</v>
      </c>
      <c r="C6" s="3">
        <v>114</v>
      </c>
      <c r="D6" s="3" t="s">
        <v>14</v>
      </c>
      <c r="E6" s="4">
        <v>33266</v>
      </c>
      <c r="F6" s="3" t="s">
        <v>22</v>
      </c>
      <c r="G6" s="5">
        <v>44407</v>
      </c>
      <c r="H6" s="5">
        <v>44558</v>
      </c>
      <c r="I6" s="3">
        <v>35000</v>
      </c>
      <c r="J6" s="3">
        <v>3</v>
      </c>
      <c r="K6" s="3">
        <v>9493205498</v>
      </c>
      <c r="L6" s="3" t="s">
        <v>16</v>
      </c>
    </row>
    <row r="7" spans="1:12" ht="14.25" customHeight="1">
      <c r="A7" s="3">
        <v>4</v>
      </c>
      <c r="B7" s="3" t="s">
        <v>23</v>
      </c>
      <c r="C7" s="3">
        <v>115</v>
      </c>
      <c r="D7" s="3" t="s">
        <v>18</v>
      </c>
      <c r="E7" s="4">
        <v>37111</v>
      </c>
      <c r="F7" s="3" t="s">
        <v>22</v>
      </c>
      <c r="G7" s="5">
        <v>44492</v>
      </c>
      <c r="H7" s="5">
        <v>44598</v>
      </c>
      <c r="I7" s="3">
        <v>18000</v>
      </c>
      <c r="J7" s="3">
        <v>5</v>
      </c>
      <c r="K7" s="3">
        <v>9136087980</v>
      </c>
      <c r="L7" s="3" t="s">
        <v>16</v>
      </c>
    </row>
    <row r="8" spans="1:12" ht="14.25" customHeight="1">
      <c r="A8" s="3">
        <v>5</v>
      </c>
      <c r="B8" s="3" t="s">
        <v>24</v>
      </c>
      <c r="C8" s="3">
        <v>116</v>
      </c>
      <c r="D8" s="3" t="s">
        <v>18</v>
      </c>
      <c r="E8" s="4">
        <v>35151</v>
      </c>
      <c r="F8" s="3" t="s">
        <v>25</v>
      </c>
      <c r="G8" s="5">
        <v>44571</v>
      </c>
      <c r="H8" s="5">
        <v>45048</v>
      </c>
      <c r="I8" s="3">
        <v>35000</v>
      </c>
      <c r="J8" s="3">
        <v>9</v>
      </c>
      <c r="K8" s="3">
        <v>9726733882</v>
      </c>
      <c r="L8" s="3" t="s">
        <v>20</v>
      </c>
    </row>
    <row r="9" spans="1:12" ht="14.25" customHeight="1">
      <c r="A9" s="3">
        <v>6</v>
      </c>
      <c r="B9" s="3" t="s">
        <v>26</v>
      </c>
      <c r="C9" s="3">
        <v>117</v>
      </c>
      <c r="D9" s="3" t="s">
        <v>14</v>
      </c>
      <c r="E9" s="4">
        <v>36885</v>
      </c>
      <c r="F9" s="3" t="s">
        <v>22</v>
      </c>
      <c r="G9" s="5">
        <v>44577</v>
      </c>
      <c r="H9" s="5">
        <v>45304</v>
      </c>
      <c r="I9" s="3">
        <v>42000</v>
      </c>
      <c r="J9" s="3">
        <v>9</v>
      </c>
      <c r="K9" s="3">
        <v>9669292876</v>
      </c>
      <c r="L9" s="3" t="s">
        <v>27</v>
      </c>
    </row>
    <row r="10" spans="1:12" ht="14.25" customHeight="1">
      <c r="A10" s="3">
        <v>7</v>
      </c>
      <c r="B10" s="3" t="s">
        <v>28</v>
      </c>
      <c r="C10" s="3">
        <v>118</v>
      </c>
      <c r="D10" s="3" t="s">
        <v>14</v>
      </c>
      <c r="E10" s="4">
        <v>34319</v>
      </c>
      <c r="F10" s="3" t="s">
        <v>25</v>
      </c>
      <c r="G10" s="5">
        <v>44424</v>
      </c>
      <c r="H10" s="5">
        <v>45054</v>
      </c>
      <c r="I10" s="3">
        <v>10000</v>
      </c>
      <c r="J10" s="3">
        <v>9</v>
      </c>
      <c r="K10" s="3">
        <v>9315204195</v>
      </c>
      <c r="L10" s="3" t="s">
        <v>29</v>
      </c>
    </row>
    <row r="11" spans="1:12" ht="14.25" customHeight="1">
      <c r="A11" s="3">
        <v>8</v>
      </c>
      <c r="B11" s="3" t="s">
        <v>30</v>
      </c>
      <c r="C11" s="3">
        <v>119</v>
      </c>
      <c r="D11" s="3" t="s">
        <v>18</v>
      </c>
      <c r="E11" s="4">
        <v>36250</v>
      </c>
      <c r="F11" s="3" t="s">
        <v>19</v>
      </c>
      <c r="G11" s="5">
        <v>44504</v>
      </c>
      <c r="H11" s="5">
        <v>44707</v>
      </c>
      <c r="I11" s="3">
        <v>18000</v>
      </c>
      <c r="J11" s="3">
        <v>3</v>
      </c>
      <c r="K11" s="3">
        <v>9285113634</v>
      </c>
      <c r="L11" s="3" t="s">
        <v>20</v>
      </c>
    </row>
    <row r="12" spans="1:12" ht="14.25" customHeight="1">
      <c r="A12" s="3">
        <v>9</v>
      </c>
      <c r="B12" s="3" t="s">
        <v>31</v>
      </c>
      <c r="C12" s="3">
        <v>110</v>
      </c>
      <c r="D12" s="3" t="s">
        <v>14</v>
      </c>
      <c r="E12" s="4">
        <v>36109</v>
      </c>
      <c r="F12" s="3" t="s">
        <v>25</v>
      </c>
      <c r="G12" s="5">
        <v>44556</v>
      </c>
      <c r="H12" s="5">
        <v>44992</v>
      </c>
      <c r="I12" s="3">
        <v>35000</v>
      </c>
      <c r="J12" s="3">
        <v>8</v>
      </c>
      <c r="K12" s="3">
        <v>9511890959</v>
      </c>
      <c r="L12" s="3" t="s">
        <v>32</v>
      </c>
    </row>
    <row r="13" spans="1:12" ht="14.25" customHeight="1">
      <c r="A13" s="3">
        <v>10</v>
      </c>
      <c r="B13" s="3" t="s">
        <v>33</v>
      </c>
      <c r="C13" s="3">
        <v>111</v>
      </c>
      <c r="D13" s="3" t="s">
        <v>18</v>
      </c>
      <c r="E13" s="4">
        <v>34701</v>
      </c>
      <c r="F13" s="3" t="s">
        <v>15</v>
      </c>
      <c r="G13" s="5">
        <v>44372</v>
      </c>
      <c r="H13" s="5">
        <v>44835</v>
      </c>
      <c r="I13" s="3">
        <v>18000</v>
      </c>
      <c r="J13" s="3">
        <v>2</v>
      </c>
      <c r="K13" s="3">
        <v>9178537741</v>
      </c>
      <c r="L13" s="3" t="s">
        <v>16</v>
      </c>
    </row>
    <row r="14" spans="1:12" ht="14.25" customHeight="1">
      <c r="A14" s="3">
        <v>11</v>
      </c>
      <c r="B14" s="3" t="s">
        <v>34</v>
      </c>
      <c r="C14" s="3">
        <v>112</v>
      </c>
      <c r="D14" s="3" t="s">
        <v>14</v>
      </c>
      <c r="E14" s="4">
        <v>35642</v>
      </c>
      <c r="F14" s="3" t="s">
        <v>25</v>
      </c>
      <c r="G14" s="5">
        <v>44308</v>
      </c>
      <c r="H14" s="5">
        <v>44677</v>
      </c>
      <c r="I14" s="3">
        <v>10000</v>
      </c>
      <c r="J14" s="3">
        <v>7</v>
      </c>
      <c r="K14" s="3">
        <v>9563258827</v>
      </c>
      <c r="L14" s="3" t="s">
        <v>32</v>
      </c>
    </row>
    <row r="15" spans="1:12" ht="14.25" customHeight="1">
      <c r="A15" s="3">
        <v>12</v>
      </c>
      <c r="B15" s="3" t="s">
        <v>35</v>
      </c>
      <c r="C15" s="3">
        <v>113</v>
      </c>
      <c r="D15" s="3" t="s">
        <v>14</v>
      </c>
      <c r="E15" s="4">
        <v>35710</v>
      </c>
      <c r="F15" s="3" t="s">
        <v>22</v>
      </c>
      <c r="G15" s="5">
        <v>44382</v>
      </c>
      <c r="H15" s="5">
        <v>44681</v>
      </c>
      <c r="I15" s="3">
        <v>20000</v>
      </c>
      <c r="J15" s="3">
        <v>1</v>
      </c>
      <c r="K15" s="3">
        <v>9903668284</v>
      </c>
      <c r="L15" s="3" t="s">
        <v>32</v>
      </c>
    </row>
    <row r="16" spans="1:12" ht="14.25" customHeight="1">
      <c r="A16" s="3">
        <v>13</v>
      </c>
      <c r="B16" s="3" t="s">
        <v>36</v>
      </c>
      <c r="C16" s="3">
        <v>114</v>
      </c>
      <c r="D16" s="3" t="s">
        <v>18</v>
      </c>
      <c r="E16" s="4">
        <v>37121</v>
      </c>
      <c r="F16" s="3" t="s">
        <v>25</v>
      </c>
      <c r="G16" s="5">
        <v>44395</v>
      </c>
      <c r="H16" s="5">
        <v>45049</v>
      </c>
      <c r="I16" s="3">
        <v>35000</v>
      </c>
      <c r="J16" s="3">
        <v>8</v>
      </c>
      <c r="K16" s="3">
        <v>9412491495</v>
      </c>
      <c r="L16" s="3" t="s">
        <v>27</v>
      </c>
    </row>
    <row r="17" spans="1:12" ht="14.25" customHeight="1">
      <c r="A17" s="3">
        <v>14</v>
      </c>
      <c r="B17" s="3" t="s">
        <v>37</v>
      </c>
      <c r="C17" s="3">
        <v>115</v>
      </c>
      <c r="D17" s="3" t="s">
        <v>18</v>
      </c>
      <c r="E17" s="4">
        <v>35440</v>
      </c>
      <c r="F17" s="3" t="s">
        <v>15</v>
      </c>
      <c r="G17" s="5">
        <v>44617</v>
      </c>
      <c r="H17" s="5">
        <v>45195</v>
      </c>
      <c r="I17" s="3">
        <v>42000</v>
      </c>
      <c r="J17" s="3">
        <v>10</v>
      </c>
      <c r="K17" s="3">
        <v>9580977285</v>
      </c>
      <c r="L17" s="3" t="s">
        <v>29</v>
      </c>
    </row>
    <row r="18" spans="1:12" ht="14.25" customHeight="1">
      <c r="A18" s="3">
        <v>15</v>
      </c>
      <c r="B18" s="3" t="s">
        <v>38</v>
      </c>
      <c r="C18" s="3">
        <v>116</v>
      </c>
      <c r="D18" s="3" t="s">
        <v>14</v>
      </c>
      <c r="E18" s="4">
        <v>35105</v>
      </c>
      <c r="F18" s="3" t="s">
        <v>22</v>
      </c>
      <c r="G18" s="5">
        <v>44300</v>
      </c>
      <c r="H18" s="5">
        <v>44785</v>
      </c>
      <c r="I18" s="3">
        <v>20000</v>
      </c>
      <c r="J18" s="3">
        <v>2</v>
      </c>
      <c r="K18" s="3">
        <v>9543199239</v>
      </c>
      <c r="L18" s="3" t="s">
        <v>27</v>
      </c>
    </row>
    <row r="19" spans="1:12" ht="14.25" customHeight="1">
      <c r="A19" s="3">
        <v>16</v>
      </c>
      <c r="B19" s="3" t="s">
        <v>39</v>
      </c>
      <c r="C19" s="3">
        <v>117</v>
      </c>
      <c r="D19" s="3" t="s">
        <v>14</v>
      </c>
      <c r="E19" s="4">
        <v>35649</v>
      </c>
      <c r="F19" s="3" t="s">
        <v>25</v>
      </c>
      <c r="G19" s="5">
        <v>44565</v>
      </c>
      <c r="H19" s="5">
        <v>44725</v>
      </c>
      <c r="I19" s="3">
        <v>10000</v>
      </c>
      <c r="J19" s="3">
        <v>7</v>
      </c>
      <c r="K19" s="3">
        <v>9712763149</v>
      </c>
      <c r="L19" s="3" t="s">
        <v>32</v>
      </c>
    </row>
    <row r="20" spans="1:12" ht="14.25" customHeight="1">
      <c r="A20" s="3">
        <v>17</v>
      </c>
      <c r="B20" s="3" t="s">
        <v>40</v>
      </c>
      <c r="C20" s="3">
        <v>118</v>
      </c>
      <c r="D20" s="3" t="s">
        <v>14</v>
      </c>
      <c r="E20" s="4">
        <v>35946</v>
      </c>
      <c r="F20" s="3" t="s">
        <v>15</v>
      </c>
      <c r="G20" s="5">
        <v>44494</v>
      </c>
      <c r="H20" s="5">
        <v>45097</v>
      </c>
      <c r="I20" s="3">
        <v>10000</v>
      </c>
      <c r="J20" s="3">
        <v>5</v>
      </c>
      <c r="K20" s="3">
        <v>9750297284</v>
      </c>
      <c r="L20" s="3" t="s">
        <v>20</v>
      </c>
    </row>
    <row r="21" spans="1:12" ht="14.25" customHeight="1">
      <c r="A21" s="3">
        <v>18</v>
      </c>
      <c r="B21" s="3" t="s">
        <v>41</v>
      </c>
      <c r="C21" s="3">
        <v>119</v>
      </c>
      <c r="D21" s="3" t="s">
        <v>18</v>
      </c>
      <c r="E21" s="4">
        <v>35239</v>
      </c>
      <c r="F21" s="3" t="s">
        <v>19</v>
      </c>
      <c r="G21" s="5">
        <v>44332</v>
      </c>
      <c r="H21" s="5">
        <v>44673</v>
      </c>
      <c r="I21" s="3">
        <v>35000</v>
      </c>
      <c r="J21" s="3">
        <v>9</v>
      </c>
      <c r="K21" s="3">
        <v>9356037554</v>
      </c>
      <c r="L21" s="3" t="s">
        <v>32</v>
      </c>
    </row>
    <row r="22" spans="1:12" ht="14.25" customHeight="1">
      <c r="A22" s="3">
        <v>19</v>
      </c>
      <c r="B22" s="3" t="s">
        <v>42</v>
      </c>
      <c r="C22" s="3">
        <v>120</v>
      </c>
      <c r="D22" s="3" t="s">
        <v>18</v>
      </c>
      <c r="E22" s="4">
        <v>33573</v>
      </c>
      <c r="F22" s="3" t="s">
        <v>15</v>
      </c>
      <c r="G22" s="5">
        <v>44604</v>
      </c>
      <c r="H22" s="5">
        <v>45195</v>
      </c>
      <c r="I22" s="3">
        <v>20000</v>
      </c>
      <c r="J22" s="3">
        <v>3</v>
      </c>
      <c r="K22" s="3">
        <v>9816090272</v>
      </c>
      <c r="L22" s="3" t="s">
        <v>29</v>
      </c>
    </row>
    <row r="23" spans="1:12" ht="14.25" customHeight="1">
      <c r="A23" s="3">
        <v>20</v>
      </c>
      <c r="B23" s="3" t="s">
        <v>43</v>
      </c>
      <c r="C23" s="3">
        <v>121</v>
      </c>
      <c r="D23" s="3" t="s">
        <v>18</v>
      </c>
      <c r="E23" s="4">
        <v>36573</v>
      </c>
      <c r="F23" s="3" t="s">
        <v>15</v>
      </c>
      <c r="G23" s="5">
        <v>44438</v>
      </c>
      <c r="H23" s="5">
        <v>44857</v>
      </c>
      <c r="I23" s="3">
        <v>20000</v>
      </c>
      <c r="J23" s="3">
        <v>6</v>
      </c>
      <c r="K23" s="3">
        <v>9372396296</v>
      </c>
      <c r="L23" s="3" t="s">
        <v>27</v>
      </c>
    </row>
    <row r="24" spans="1:12" ht="14.25" customHeight="1">
      <c r="A24" s="3">
        <v>21</v>
      </c>
      <c r="B24" s="3" t="s">
        <v>44</v>
      </c>
      <c r="C24" s="3">
        <v>112</v>
      </c>
      <c r="D24" s="3" t="s">
        <v>14</v>
      </c>
      <c r="E24" s="4">
        <v>37047</v>
      </c>
      <c r="F24" s="3" t="s">
        <v>25</v>
      </c>
      <c r="G24" s="5">
        <v>44431</v>
      </c>
      <c r="H24" s="5">
        <v>45038</v>
      </c>
      <c r="I24" s="3">
        <v>18000</v>
      </c>
      <c r="J24" s="3">
        <v>1</v>
      </c>
      <c r="K24" s="3">
        <v>9756436801</v>
      </c>
      <c r="L24" s="3" t="s">
        <v>16</v>
      </c>
    </row>
    <row r="25" spans="1:12" ht="14.25" customHeight="1">
      <c r="A25" s="3">
        <v>22</v>
      </c>
      <c r="B25" s="3" t="s">
        <v>45</v>
      </c>
      <c r="C25" s="3">
        <v>113</v>
      </c>
      <c r="D25" s="3" t="s">
        <v>14</v>
      </c>
      <c r="E25" s="4">
        <v>37089</v>
      </c>
      <c r="F25" s="3" t="s">
        <v>22</v>
      </c>
      <c r="G25" s="5">
        <v>44553</v>
      </c>
      <c r="H25" s="5">
        <v>44950</v>
      </c>
      <c r="I25" s="3">
        <v>35000</v>
      </c>
      <c r="J25" s="3">
        <v>6</v>
      </c>
      <c r="K25" s="3">
        <v>9260569132</v>
      </c>
      <c r="L25" s="3" t="s">
        <v>20</v>
      </c>
    </row>
    <row r="26" spans="1:12" ht="14.25" customHeight="1">
      <c r="A26" s="3">
        <v>23</v>
      </c>
      <c r="B26" s="3" t="s">
        <v>46</v>
      </c>
      <c r="C26" s="3">
        <v>114</v>
      </c>
      <c r="D26" s="3" t="s">
        <v>18</v>
      </c>
      <c r="E26" s="4">
        <v>33699</v>
      </c>
      <c r="F26" s="3" t="s">
        <v>19</v>
      </c>
      <c r="G26" s="5">
        <v>44577</v>
      </c>
      <c r="H26" s="5">
        <v>45149</v>
      </c>
      <c r="I26" s="3">
        <v>20000</v>
      </c>
      <c r="J26" s="3">
        <v>3</v>
      </c>
      <c r="K26" s="3">
        <v>9521494464</v>
      </c>
      <c r="L26" s="3" t="s">
        <v>16</v>
      </c>
    </row>
    <row r="27" spans="1:12" ht="14.25" customHeight="1">
      <c r="A27" s="3">
        <v>24</v>
      </c>
      <c r="B27" s="3" t="s">
        <v>47</v>
      </c>
      <c r="C27" s="3">
        <v>115</v>
      </c>
      <c r="D27" s="3" t="s">
        <v>18</v>
      </c>
      <c r="E27" s="4">
        <v>35431</v>
      </c>
      <c r="F27" s="3" t="s">
        <v>22</v>
      </c>
      <c r="G27" s="5">
        <v>44507</v>
      </c>
      <c r="H27" s="5">
        <v>44885</v>
      </c>
      <c r="I27" s="3">
        <v>18000</v>
      </c>
      <c r="J27" s="3">
        <v>7</v>
      </c>
      <c r="K27" s="3">
        <v>9592356344</v>
      </c>
      <c r="L27" s="3" t="s">
        <v>16</v>
      </c>
    </row>
    <row r="28" spans="1:12" ht="14.25" customHeight="1">
      <c r="A28" s="3">
        <v>25</v>
      </c>
      <c r="B28" s="3" t="s">
        <v>48</v>
      </c>
      <c r="C28" s="3">
        <v>116</v>
      </c>
      <c r="D28" s="3" t="s">
        <v>18</v>
      </c>
      <c r="E28" s="4">
        <v>37062</v>
      </c>
      <c r="F28" s="3" t="s">
        <v>22</v>
      </c>
      <c r="G28" s="5">
        <v>44456</v>
      </c>
      <c r="H28" s="5">
        <v>44872</v>
      </c>
      <c r="I28" s="3">
        <v>20000</v>
      </c>
      <c r="J28" s="3">
        <v>10</v>
      </c>
      <c r="K28" s="3">
        <v>9420689442</v>
      </c>
      <c r="L28" s="3" t="s">
        <v>20</v>
      </c>
    </row>
    <row r="29" spans="1:12" ht="14.25" customHeight="1">
      <c r="A29" s="3">
        <v>26</v>
      </c>
      <c r="B29" s="3" t="s">
        <v>49</v>
      </c>
      <c r="C29" s="3">
        <v>117</v>
      </c>
      <c r="D29" s="3" t="s">
        <v>18</v>
      </c>
      <c r="E29" s="4">
        <v>33962</v>
      </c>
      <c r="F29" s="3" t="s">
        <v>25</v>
      </c>
      <c r="G29" s="5">
        <v>44417</v>
      </c>
      <c r="H29" s="5">
        <v>44946</v>
      </c>
      <c r="I29" s="3">
        <v>20000</v>
      </c>
      <c r="J29" s="3">
        <v>10</v>
      </c>
      <c r="K29" s="3">
        <v>9323047053</v>
      </c>
      <c r="L29" s="3" t="s">
        <v>27</v>
      </c>
    </row>
    <row r="30" spans="1:12" ht="14.25" customHeight="1">
      <c r="A30" s="3">
        <v>27</v>
      </c>
      <c r="B30" s="3" t="s">
        <v>50</v>
      </c>
      <c r="C30" s="3">
        <v>118</v>
      </c>
      <c r="D30" s="3" t="s">
        <v>14</v>
      </c>
      <c r="E30" s="4">
        <v>36619</v>
      </c>
      <c r="F30" s="3" t="s">
        <v>25</v>
      </c>
      <c r="G30" s="5">
        <v>44395</v>
      </c>
      <c r="H30" s="5">
        <v>44512</v>
      </c>
      <c r="I30" s="3">
        <v>35000</v>
      </c>
      <c r="J30" s="3">
        <v>7</v>
      </c>
      <c r="K30" s="3">
        <v>9175236256</v>
      </c>
      <c r="L30" s="3" t="s">
        <v>29</v>
      </c>
    </row>
    <row r="31" spans="1:12" ht="14.25" customHeight="1">
      <c r="A31" s="3">
        <v>28</v>
      </c>
      <c r="B31" s="3" t="s">
        <v>51</v>
      </c>
      <c r="C31" s="3">
        <v>119</v>
      </c>
      <c r="D31" s="3" t="s">
        <v>14</v>
      </c>
      <c r="E31" s="4">
        <v>35339</v>
      </c>
      <c r="F31" s="3" t="s">
        <v>25</v>
      </c>
      <c r="G31" s="5">
        <v>44517</v>
      </c>
      <c r="H31" s="5">
        <v>44926</v>
      </c>
      <c r="I31" s="3">
        <v>35000</v>
      </c>
      <c r="J31" s="3">
        <v>6</v>
      </c>
      <c r="K31" s="3">
        <v>9650155772</v>
      </c>
      <c r="L31" s="3" t="s">
        <v>20</v>
      </c>
    </row>
    <row r="32" spans="1:12" ht="14.25" customHeight="1">
      <c r="A32" s="3">
        <v>29</v>
      </c>
      <c r="B32" s="3" t="s">
        <v>52</v>
      </c>
      <c r="C32" s="3">
        <v>110</v>
      </c>
      <c r="D32" s="3" t="s">
        <v>14</v>
      </c>
      <c r="E32" s="4">
        <v>34578</v>
      </c>
      <c r="F32" s="3" t="s">
        <v>15</v>
      </c>
      <c r="G32" s="5">
        <v>44357</v>
      </c>
      <c r="H32" s="5">
        <v>44560</v>
      </c>
      <c r="I32" s="3">
        <v>10000</v>
      </c>
      <c r="J32" s="3">
        <v>7</v>
      </c>
      <c r="K32" s="3">
        <v>9108489803</v>
      </c>
      <c r="L32" s="3" t="s">
        <v>32</v>
      </c>
    </row>
    <row r="33" spans="1:12" ht="14.25" customHeight="1">
      <c r="A33" s="3">
        <v>30</v>
      </c>
      <c r="B33" s="3" t="s">
        <v>53</v>
      </c>
      <c r="C33" s="3">
        <v>111</v>
      </c>
      <c r="D33" s="3" t="s">
        <v>14</v>
      </c>
      <c r="E33" s="4">
        <v>34635</v>
      </c>
      <c r="F33" s="3" t="s">
        <v>25</v>
      </c>
      <c r="G33" s="5">
        <v>44409</v>
      </c>
      <c r="H33" s="5">
        <v>45060</v>
      </c>
      <c r="I33" s="3">
        <v>18000</v>
      </c>
      <c r="J33" s="3">
        <v>5</v>
      </c>
      <c r="K33" s="3">
        <v>9175153983</v>
      </c>
      <c r="L33" s="3" t="s">
        <v>16</v>
      </c>
    </row>
    <row r="34" spans="1:12" ht="14.25" customHeight="1">
      <c r="A34" s="3">
        <v>31</v>
      </c>
      <c r="B34" s="3" t="s">
        <v>54</v>
      </c>
      <c r="C34" s="3">
        <v>112</v>
      </c>
      <c r="D34" s="3" t="s">
        <v>18</v>
      </c>
      <c r="E34" s="4">
        <v>37176</v>
      </c>
      <c r="F34" s="3" t="s">
        <v>22</v>
      </c>
      <c r="G34" s="5">
        <v>44325</v>
      </c>
      <c r="H34" s="5">
        <v>44976</v>
      </c>
      <c r="I34" s="3">
        <v>10000</v>
      </c>
      <c r="J34" s="3">
        <v>3</v>
      </c>
      <c r="K34" s="3">
        <v>9256089954</v>
      </c>
      <c r="L34" s="3" t="s">
        <v>32</v>
      </c>
    </row>
    <row r="35" spans="1:12" ht="14.25" customHeight="1">
      <c r="A35" s="3">
        <v>32</v>
      </c>
      <c r="B35" s="3" t="s">
        <v>55</v>
      </c>
      <c r="C35" s="3">
        <v>113</v>
      </c>
      <c r="D35" s="3" t="s">
        <v>14</v>
      </c>
      <c r="E35" s="4">
        <v>36068</v>
      </c>
      <c r="F35" s="3" t="s">
        <v>22</v>
      </c>
      <c r="G35" s="5">
        <v>44408</v>
      </c>
      <c r="H35" s="5">
        <v>44988</v>
      </c>
      <c r="I35" s="3">
        <v>35000</v>
      </c>
      <c r="J35" s="3">
        <v>4</v>
      </c>
      <c r="K35" s="3">
        <v>9471908056</v>
      </c>
      <c r="L35" s="3" t="s">
        <v>32</v>
      </c>
    </row>
    <row r="36" spans="1:12" ht="14.25" customHeight="1">
      <c r="A36" s="3">
        <v>33</v>
      </c>
      <c r="B36" s="3" t="s">
        <v>56</v>
      </c>
      <c r="C36" s="3">
        <v>114</v>
      </c>
      <c r="D36" s="3" t="s">
        <v>14</v>
      </c>
      <c r="E36" s="4">
        <v>34912</v>
      </c>
      <c r="F36" s="3" t="s">
        <v>19</v>
      </c>
      <c r="G36" s="5">
        <v>44512</v>
      </c>
      <c r="H36" s="5">
        <v>44625</v>
      </c>
      <c r="I36" s="3">
        <v>35000</v>
      </c>
      <c r="J36" s="3">
        <v>7</v>
      </c>
      <c r="K36" s="3">
        <v>9361742681</v>
      </c>
      <c r="L36" s="3" t="s">
        <v>27</v>
      </c>
    </row>
    <row r="37" spans="1:12" ht="14.25" customHeight="1">
      <c r="A37" s="3">
        <v>34</v>
      </c>
      <c r="B37" s="3" t="s">
        <v>57</v>
      </c>
      <c r="C37" s="3">
        <v>115</v>
      </c>
      <c r="D37" s="3" t="s">
        <v>14</v>
      </c>
      <c r="E37" s="4">
        <v>36437</v>
      </c>
      <c r="F37" s="3" t="s">
        <v>25</v>
      </c>
      <c r="G37" s="5">
        <v>44593</v>
      </c>
      <c r="H37" s="5">
        <v>45316</v>
      </c>
      <c r="I37" s="3">
        <v>20000</v>
      </c>
      <c r="J37" s="3">
        <v>6</v>
      </c>
      <c r="K37" s="3">
        <v>9550307866</v>
      </c>
      <c r="L37" s="3" t="s">
        <v>29</v>
      </c>
    </row>
    <row r="38" spans="1:12" ht="14.25" customHeight="1">
      <c r="A38" s="3">
        <v>35</v>
      </c>
      <c r="B38" s="3" t="s">
        <v>58</v>
      </c>
      <c r="C38" s="3">
        <v>116</v>
      </c>
      <c r="D38" s="3" t="s">
        <v>18</v>
      </c>
      <c r="E38" s="4">
        <v>33535</v>
      </c>
      <c r="F38" s="3" t="s">
        <v>15</v>
      </c>
      <c r="G38" s="5">
        <v>44467</v>
      </c>
      <c r="H38" s="5">
        <v>44659</v>
      </c>
      <c r="I38" s="3">
        <v>10000</v>
      </c>
      <c r="J38" s="3">
        <v>7</v>
      </c>
      <c r="K38" s="3">
        <v>9456201256</v>
      </c>
      <c r="L38" s="3" t="s">
        <v>27</v>
      </c>
    </row>
    <row r="39" spans="1:12" ht="14.25" customHeight="1">
      <c r="A39" s="3">
        <v>36</v>
      </c>
      <c r="B39" s="3" t="s">
        <v>59</v>
      </c>
      <c r="C39" s="3">
        <v>117</v>
      </c>
      <c r="D39" s="3" t="s">
        <v>18</v>
      </c>
      <c r="E39" s="4">
        <v>35077</v>
      </c>
      <c r="F39" s="3" t="s">
        <v>22</v>
      </c>
      <c r="G39" s="5">
        <v>44315</v>
      </c>
      <c r="H39" s="5">
        <v>44668</v>
      </c>
      <c r="I39" s="3">
        <v>10000</v>
      </c>
      <c r="J39" s="3">
        <v>2</v>
      </c>
      <c r="K39" s="3">
        <v>9234670550</v>
      </c>
      <c r="L39" s="3" t="s">
        <v>32</v>
      </c>
    </row>
    <row r="40" spans="1:12" ht="14.25" customHeight="1">
      <c r="A40" s="3">
        <v>37</v>
      </c>
      <c r="B40" s="3" t="s">
        <v>60</v>
      </c>
      <c r="C40" s="3">
        <v>118</v>
      </c>
      <c r="D40" s="3" t="s">
        <v>14</v>
      </c>
      <c r="E40" s="4">
        <v>33690</v>
      </c>
      <c r="F40" s="3" t="s">
        <v>19</v>
      </c>
      <c r="G40" s="5">
        <v>44605</v>
      </c>
      <c r="H40" s="5">
        <v>45179</v>
      </c>
      <c r="I40" s="3">
        <v>35000</v>
      </c>
      <c r="J40" s="3">
        <v>9</v>
      </c>
      <c r="K40" s="3">
        <v>9623465455</v>
      </c>
      <c r="L40" s="3" t="s">
        <v>20</v>
      </c>
    </row>
    <row r="41" spans="1:12" ht="14.25" customHeight="1">
      <c r="A41" s="3">
        <v>38</v>
      </c>
      <c r="B41" s="3" t="s">
        <v>61</v>
      </c>
      <c r="C41" s="3">
        <v>119</v>
      </c>
      <c r="D41" s="3" t="s">
        <v>14</v>
      </c>
      <c r="E41" s="4">
        <v>33880</v>
      </c>
      <c r="F41" s="3" t="s">
        <v>19</v>
      </c>
      <c r="G41" s="5">
        <v>44444</v>
      </c>
      <c r="H41" s="5">
        <v>44931</v>
      </c>
      <c r="I41" s="3">
        <v>10000</v>
      </c>
      <c r="J41" s="3">
        <v>8</v>
      </c>
      <c r="K41" s="3">
        <v>9257334815</v>
      </c>
      <c r="L41" s="3" t="s">
        <v>32</v>
      </c>
    </row>
    <row r="42" spans="1:12" ht="14.25" customHeight="1">
      <c r="A42" s="3">
        <v>39</v>
      </c>
      <c r="B42" s="3" t="s">
        <v>62</v>
      </c>
      <c r="C42" s="3">
        <v>120</v>
      </c>
      <c r="D42" s="3" t="s">
        <v>18</v>
      </c>
      <c r="E42" s="4">
        <v>33960</v>
      </c>
      <c r="F42" s="3" t="s">
        <v>25</v>
      </c>
      <c r="G42" s="5">
        <v>44456</v>
      </c>
      <c r="H42" s="5">
        <v>44940</v>
      </c>
      <c r="I42" s="3">
        <v>35000</v>
      </c>
      <c r="J42" s="3">
        <v>10</v>
      </c>
      <c r="K42" s="3">
        <v>9463131191</v>
      </c>
      <c r="L42" s="3" t="s">
        <v>29</v>
      </c>
    </row>
    <row r="43" spans="1:12" ht="14.25" customHeight="1">
      <c r="A43" s="3">
        <v>40</v>
      </c>
      <c r="B43" s="3" t="s">
        <v>63</v>
      </c>
      <c r="C43" s="3">
        <v>121</v>
      </c>
      <c r="D43" s="3" t="s">
        <v>14</v>
      </c>
      <c r="E43" s="4">
        <v>35680</v>
      </c>
      <c r="F43" s="3" t="s">
        <v>19</v>
      </c>
      <c r="G43" s="5">
        <v>44565</v>
      </c>
      <c r="H43" s="5">
        <v>45215</v>
      </c>
      <c r="I43" s="3">
        <v>18000</v>
      </c>
      <c r="J43" s="3">
        <v>3</v>
      </c>
      <c r="K43" s="3">
        <v>9659532373</v>
      </c>
      <c r="L43" s="3" t="s">
        <v>27</v>
      </c>
    </row>
    <row r="44" spans="1:12" ht="14.2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</row>
    <row r="45" spans="1:12" ht="14.2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</row>
    <row r="46" spans="1:12" ht="14.2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</row>
    <row r="47" spans="1:12" ht="14.2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</row>
    <row r="48" spans="1:12" ht="14.2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H1"/>
  </mergeCells>
  <conditionalFormatting sqref="B4:B43">
    <cfRule type="duplicateValues" dxfId="1" priority="1"/>
  </conditionalFormatting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L1000"/>
  <sheetViews>
    <sheetView workbookViewId="0">
      <selection activeCell="D7" sqref="D7"/>
    </sheetView>
  </sheetViews>
  <sheetFormatPr defaultColWidth="14.42578125" defaultRowHeight="15" customHeight="1"/>
  <cols>
    <col min="1" max="1" width="8.7109375" customWidth="1"/>
    <col min="2" max="2" width="16.42578125" customWidth="1"/>
    <col min="3" max="3" width="7.42578125" customWidth="1"/>
    <col min="4" max="4" width="7" customWidth="1"/>
    <col min="5" max="5" width="9.7109375" customWidth="1"/>
    <col min="6" max="6" width="13.140625" customWidth="1"/>
    <col min="7" max="7" width="11.85546875" customWidth="1"/>
    <col min="8" max="8" width="17.5703125" customWidth="1"/>
    <col min="9" max="9" width="5.85546875" customWidth="1"/>
    <col min="10" max="10" width="14.7109375" customWidth="1"/>
    <col min="11" max="11" width="23.42578125" customWidth="1"/>
    <col min="12" max="12" width="9.7109375" customWidth="1"/>
    <col min="13" max="26" width="8.7109375" customWidth="1"/>
  </cols>
  <sheetData>
    <row r="1" spans="2:12" ht="14.25" customHeight="1">
      <c r="B1" s="97"/>
      <c r="C1" s="113" t="s">
        <v>338</v>
      </c>
      <c r="D1" s="100"/>
      <c r="E1" s="100"/>
      <c r="F1" s="100"/>
      <c r="G1" s="100"/>
      <c r="H1" s="100"/>
      <c r="I1" s="97"/>
      <c r="J1" s="97"/>
      <c r="K1" s="97"/>
      <c r="L1" s="97"/>
    </row>
    <row r="2" spans="2:12" ht="14.25" customHeight="1"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2:12" ht="14.25" customHeight="1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2:12" ht="14.25" customHeight="1"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2:12" ht="14.25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</row>
    <row r="6" spans="2:12" ht="14.25" customHeight="1">
      <c r="B6" s="3" t="s">
        <v>13</v>
      </c>
      <c r="C6" s="3">
        <v>112</v>
      </c>
      <c r="D6" s="3" t="s">
        <v>14</v>
      </c>
      <c r="E6" s="4">
        <v>37084</v>
      </c>
      <c r="F6" s="3" t="s">
        <v>15</v>
      </c>
      <c r="G6" s="5">
        <v>44571</v>
      </c>
      <c r="H6" s="5">
        <v>44958</v>
      </c>
      <c r="I6" s="3">
        <v>42000</v>
      </c>
      <c r="J6" s="3">
        <v>8</v>
      </c>
      <c r="K6" s="3">
        <v>9821934908</v>
      </c>
      <c r="L6" s="3" t="s">
        <v>16</v>
      </c>
    </row>
    <row r="7" spans="2:12" ht="14.25" customHeight="1">
      <c r="B7" s="3" t="s">
        <v>17</v>
      </c>
      <c r="C7" s="3">
        <v>113</v>
      </c>
      <c r="D7" s="3" t="s">
        <v>18</v>
      </c>
      <c r="E7" s="4">
        <v>35354</v>
      </c>
      <c r="F7" s="3" t="s">
        <v>19</v>
      </c>
      <c r="G7" s="5">
        <v>44507</v>
      </c>
      <c r="H7" s="5">
        <v>45224</v>
      </c>
      <c r="I7" s="3">
        <v>35000</v>
      </c>
      <c r="J7" s="3">
        <v>1</v>
      </c>
      <c r="K7" s="3">
        <v>9543693808</v>
      </c>
      <c r="L7" s="3" t="s">
        <v>20</v>
      </c>
    </row>
    <row r="8" spans="2:12" ht="14.25" customHeight="1">
      <c r="B8" s="3" t="s">
        <v>21</v>
      </c>
      <c r="C8" s="3">
        <v>114</v>
      </c>
      <c r="D8" s="3" t="s">
        <v>14</v>
      </c>
      <c r="E8" s="4">
        <v>33266</v>
      </c>
      <c r="F8" s="3" t="s">
        <v>22</v>
      </c>
      <c r="G8" s="5">
        <v>44407</v>
      </c>
      <c r="H8" s="5">
        <v>44558</v>
      </c>
      <c r="I8" s="3">
        <v>35000</v>
      </c>
      <c r="J8" s="3">
        <v>3</v>
      </c>
      <c r="K8" s="3">
        <v>9493205498</v>
      </c>
      <c r="L8" s="3" t="s">
        <v>16</v>
      </c>
    </row>
    <row r="9" spans="2:12" ht="14.25" customHeight="1">
      <c r="B9" s="3" t="s">
        <v>23</v>
      </c>
      <c r="C9" s="3">
        <v>115</v>
      </c>
      <c r="D9" s="3" t="s">
        <v>18</v>
      </c>
      <c r="E9" s="4">
        <v>37111</v>
      </c>
      <c r="F9" s="3" t="s">
        <v>22</v>
      </c>
      <c r="G9" s="5">
        <v>44492</v>
      </c>
      <c r="H9" s="5">
        <v>44598</v>
      </c>
      <c r="I9" s="3">
        <v>18000</v>
      </c>
      <c r="J9" s="3">
        <v>5</v>
      </c>
      <c r="K9" s="3">
        <v>9136087980</v>
      </c>
      <c r="L9" s="3" t="s">
        <v>16</v>
      </c>
    </row>
    <row r="10" spans="2:12" ht="14.25" customHeight="1">
      <c r="B10" s="3" t="s">
        <v>24</v>
      </c>
      <c r="C10" s="3">
        <v>116</v>
      </c>
      <c r="D10" s="3" t="s">
        <v>18</v>
      </c>
      <c r="E10" s="4">
        <v>35151</v>
      </c>
      <c r="F10" s="3" t="s">
        <v>25</v>
      </c>
      <c r="G10" s="5">
        <v>44571</v>
      </c>
      <c r="H10" s="5">
        <v>45048</v>
      </c>
      <c r="I10" s="3">
        <v>35000</v>
      </c>
      <c r="J10" s="3">
        <v>9</v>
      </c>
      <c r="K10" s="3">
        <v>9726733882</v>
      </c>
      <c r="L10" s="3" t="s">
        <v>20</v>
      </c>
    </row>
    <row r="11" spans="2:12" ht="14.25" customHeight="1">
      <c r="B11" s="3" t="s">
        <v>26</v>
      </c>
      <c r="C11" s="3">
        <v>117</v>
      </c>
      <c r="D11" s="3" t="s">
        <v>14</v>
      </c>
      <c r="E11" s="4">
        <v>36885</v>
      </c>
      <c r="F11" s="3" t="s">
        <v>22</v>
      </c>
      <c r="G11" s="5">
        <v>44577</v>
      </c>
      <c r="H11" s="5">
        <v>45304</v>
      </c>
      <c r="I11" s="3">
        <v>42000</v>
      </c>
      <c r="J11" s="3">
        <v>9</v>
      </c>
      <c r="K11" s="3">
        <v>9669292876</v>
      </c>
      <c r="L11" s="3" t="s">
        <v>27</v>
      </c>
    </row>
    <row r="12" spans="2:12" ht="14.25" customHeight="1">
      <c r="B12" s="3" t="s">
        <v>28</v>
      </c>
      <c r="C12" s="3">
        <v>118</v>
      </c>
      <c r="D12" s="3" t="s">
        <v>14</v>
      </c>
      <c r="E12" s="4">
        <v>34319</v>
      </c>
      <c r="F12" s="3" t="s">
        <v>25</v>
      </c>
      <c r="G12" s="5">
        <v>44424</v>
      </c>
      <c r="H12" s="5">
        <v>45054</v>
      </c>
      <c r="I12" s="3">
        <v>10000</v>
      </c>
      <c r="J12" s="3">
        <v>9</v>
      </c>
      <c r="K12" s="3">
        <v>9315204195</v>
      </c>
      <c r="L12" s="3" t="s">
        <v>29</v>
      </c>
    </row>
    <row r="13" spans="2:12" ht="14.25" customHeight="1">
      <c r="B13" s="3" t="s">
        <v>30</v>
      </c>
      <c r="C13" s="3">
        <v>119</v>
      </c>
      <c r="D13" s="3" t="s">
        <v>18</v>
      </c>
      <c r="E13" s="4">
        <v>36250</v>
      </c>
      <c r="F13" s="3" t="s">
        <v>19</v>
      </c>
      <c r="G13" s="5">
        <v>44504</v>
      </c>
      <c r="H13" s="5">
        <v>44707</v>
      </c>
      <c r="I13" s="3">
        <v>18000</v>
      </c>
      <c r="J13" s="3">
        <v>3</v>
      </c>
      <c r="K13" s="3">
        <v>9285113634</v>
      </c>
      <c r="L13" s="3" t="s">
        <v>20</v>
      </c>
    </row>
    <row r="14" spans="2:12" ht="14.25" customHeight="1">
      <c r="B14" s="3" t="s">
        <v>31</v>
      </c>
      <c r="C14" s="3">
        <v>110</v>
      </c>
      <c r="D14" s="3" t="s">
        <v>14</v>
      </c>
      <c r="E14" s="4">
        <v>36109</v>
      </c>
      <c r="F14" s="3" t="s">
        <v>25</v>
      </c>
      <c r="G14" s="5">
        <v>44556</v>
      </c>
      <c r="H14" s="5">
        <v>44992</v>
      </c>
      <c r="I14" s="3">
        <v>35000</v>
      </c>
      <c r="J14" s="3">
        <v>8</v>
      </c>
      <c r="K14" s="3">
        <v>9511890959</v>
      </c>
      <c r="L14" s="3" t="s">
        <v>32</v>
      </c>
    </row>
    <row r="15" spans="2:12" ht="14.25" customHeight="1">
      <c r="B15" s="3" t="s">
        <v>33</v>
      </c>
      <c r="C15" s="3">
        <v>111</v>
      </c>
      <c r="D15" s="3" t="s">
        <v>18</v>
      </c>
      <c r="E15" s="4">
        <v>34701</v>
      </c>
      <c r="F15" s="3" t="s">
        <v>15</v>
      </c>
      <c r="G15" s="5">
        <v>44372</v>
      </c>
      <c r="H15" s="5">
        <v>44835</v>
      </c>
      <c r="I15" s="3">
        <v>18000</v>
      </c>
      <c r="J15" s="3">
        <v>2</v>
      </c>
      <c r="K15" s="3">
        <v>9178537741</v>
      </c>
      <c r="L15" s="3" t="s">
        <v>16</v>
      </c>
    </row>
    <row r="16" spans="2:12" ht="14.25" customHeight="1">
      <c r="B16" s="3" t="s">
        <v>34</v>
      </c>
      <c r="C16" s="3">
        <v>112</v>
      </c>
      <c r="D16" s="3" t="s">
        <v>14</v>
      </c>
      <c r="E16" s="4">
        <v>35642</v>
      </c>
      <c r="F16" s="3" t="s">
        <v>25</v>
      </c>
      <c r="G16" s="5">
        <v>44308</v>
      </c>
      <c r="H16" s="5">
        <v>44677</v>
      </c>
      <c r="I16" s="3">
        <v>10000</v>
      </c>
      <c r="J16" s="3">
        <v>7</v>
      </c>
      <c r="K16" s="3">
        <v>9563258827</v>
      </c>
      <c r="L16" s="3" t="s">
        <v>32</v>
      </c>
    </row>
    <row r="17" spans="2:12" ht="14.25" customHeight="1">
      <c r="B17" s="3" t="s">
        <v>35</v>
      </c>
      <c r="C17" s="3">
        <v>113</v>
      </c>
      <c r="D17" s="3" t="s">
        <v>14</v>
      </c>
      <c r="E17" s="4">
        <v>35710</v>
      </c>
      <c r="F17" s="3" t="s">
        <v>22</v>
      </c>
      <c r="G17" s="5">
        <v>44382</v>
      </c>
      <c r="H17" s="5">
        <v>44681</v>
      </c>
      <c r="I17" s="3">
        <v>20000</v>
      </c>
      <c r="J17" s="3">
        <v>1</v>
      </c>
      <c r="K17" s="3">
        <v>9903668284</v>
      </c>
      <c r="L17" s="3" t="s">
        <v>32</v>
      </c>
    </row>
    <row r="18" spans="2:12" ht="14.25" customHeight="1">
      <c r="B18" s="3" t="s">
        <v>36</v>
      </c>
      <c r="C18" s="3">
        <v>114</v>
      </c>
      <c r="D18" s="3" t="s">
        <v>18</v>
      </c>
      <c r="E18" s="4">
        <v>37121</v>
      </c>
      <c r="F18" s="3" t="s">
        <v>25</v>
      </c>
      <c r="G18" s="5">
        <v>44395</v>
      </c>
      <c r="H18" s="5">
        <v>45049</v>
      </c>
      <c r="I18" s="3">
        <v>35000</v>
      </c>
      <c r="J18" s="3">
        <v>8</v>
      </c>
      <c r="K18" s="3">
        <v>9412491495</v>
      </c>
      <c r="L18" s="3" t="s">
        <v>27</v>
      </c>
    </row>
    <row r="19" spans="2:12" ht="14.25" customHeight="1">
      <c r="B19" s="3" t="s">
        <v>37</v>
      </c>
      <c r="C19" s="3">
        <v>115</v>
      </c>
      <c r="D19" s="3" t="s">
        <v>18</v>
      </c>
      <c r="E19" s="4">
        <v>35440</v>
      </c>
      <c r="F19" s="3" t="s">
        <v>15</v>
      </c>
      <c r="G19" s="5">
        <v>44617</v>
      </c>
      <c r="H19" s="5">
        <v>45195</v>
      </c>
      <c r="I19" s="3">
        <v>42000</v>
      </c>
      <c r="J19" s="3">
        <v>10</v>
      </c>
      <c r="K19" s="3">
        <v>9580977285</v>
      </c>
      <c r="L19" s="3" t="s">
        <v>29</v>
      </c>
    </row>
    <row r="20" spans="2:12" ht="14.25" customHeight="1">
      <c r="B20" s="3" t="s">
        <v>38</v>
      </c>
      <c r="C20" s="3">
        <v>116</v>
      </c>
      <c r="D20" s="3" t="s">
        <v>14</v>
      </c>
      <c r="E20" s="4">
        <v>35105</v>
      </c>
      <c r="F20" s="3" t="s">
        <v>22</v>
      </c>
      <c r="G20" s="5">
        <v>44300</v>
      </c>
      <c r="H20" s="5">
        <v>44785</v>
      </c>
      <c r="I20" s="3">
        <v>20000</v>
      </c>
      <c r="J20" s="3">
        <v>2</v>
      </c>
      <c r="K20" s="3">
        <v>9543199239</v>
      </c>
      <c r="L20" s="3" t="s">
        <v>27</v>
      </c>
    </row>
    <row r="21" spans="2:12" ht="14.25" customHeight="1">
      <c r="B21" s="3" t="s">
        <v>39</v>
      </c>
      <c r="C21" s="3">
        <v>117</v>
      </c>
      <c r="D21" s="3" t="s">
        <v>14</v>
      </c>
      <c r="E21" s="4">
        <v>35649</v>
      </c>
      <c r="F21" s="3" t="s">
        <v>25</v>
      </c>
      <c r="G21" s="5">
        <v>44565</v>
      </c>
      <c r="H21" s="5">
        <v>44725</v>
      </c>
      <c r="I21" s="3">
        <v>10000</v>
      </c>
      <c r="J21" s="3">
        <v>7</v>
      </c>
      <c r="K21" s="3">
        <v>9712763149</v>
      </c>
      <c r="L21" s="3" t="s">
        <v>32</v>
      </c>
    </row>
    <row r="22" spans="2:12" ht="14.25" customHeight="1">
      <c r="B22" s="3" t="s">
        <v>40</v>
      </c>
      <c r="C22" s="3">
        <v>118</v>
      </c>
      <c r="D22" s="3" t="s">
        <v>14</v>
      </c>
      <c r="E22" s="4">
        <v>35946</v>
      </c>
      <c r="F22" s="3" t="s">
        <v>15</v>
      </c>
      <c r="G22" s="5">
        <v>44494</v>
      </c>
      <c r="H22" s="5">
        <v>45097</v>
      </c>
      <c r="I22" s="3">
        <v>10000</v>
      </c>
      <c r="J22" s="3">
        <v>5</v>
      </c>
      <c r="K22" s="3">
        <v>9750297284</v>
      </c>
      <c r="L22" s="3" t="s">
        <v>20</v>
      </c>
    </row>
    <row r="23" spans="2:12" ht="14.25" customHeight="1">
      <c r="B23" s="3" t="s">
        <v>41</v>
      </c>
      <c r="C23" s="3">
        <v>119</v>
      </c>
      <c r="D23" s="3" t="s">
        <v>18</v>
      </c>
      <c r="E23" s="4">
        <v>35239</v>
      </c>
      <c r="F23" s="3" t="s">
        <v>19</v>
      </c>
      <c r="G23" s="5">
        <v>44332</v>
      </c>
      <c r="H23" s="5">
        <v>44673</v>
      </c>
      <c r="I23" s="3">
        <v>35000</v>
      </c>
      <c r="J23" s="3">
        <v>9</v>
      </c>
      <c r="K23" s="3">
        <v>9356037554</v>
      </c>
      <c r="L23" s="3" t="s">
        <v>32</v>
      </c>
    </row>
    <row r="24" spans="2:12" ht="14.25" customHeight="1">
      <c r="B24" s="3" t="s">
        <v>42</v>
      </c>
      <c r="C24" s="3">
        <v>120</v>
      </c>
      <c r="D24" s="3" t="s">
        <v>18</v>
      </c>
      <c r="E24" s="4">
        <v>33573</v>
      </c>
      <c r="F24" s="3" t="s">
        <v>15</v>
      </c>
      <c r="G24" s="5">
        <v>44604</v>
      </c>
      <c r="H24" s="5">
        <v>45195</v>
      </c>
      <c r="I24" s="3">
        <v>20000</v>
      </c>
      <c r="J24" s="3">
        <v>3</v>
      </c>
      <c r="K24" s="3">
        <v>9816090272</v>
      </c>
      <c r="L24" s="3" t="s">
        <v>29</v>
      </c>
    </row>
    <row r="25" spans="2:12" ht="14.25" customHeight="1">
      <c r="B25" s="3" t="s">
        <v>43</v>
      </c>
      <c r="C25" s="3">
        <v>121</v>
      </c>
      <c r="D25" s="3" t="s">
        <v>18</v>
      </c>
      <c r="E25" s="4">
        <v>36573</v>
      </c>
      <c r="F25" s="3" t="s">
        <v>15</v>
      </c>
      <c r="G25" s="5">
        <v>44438</v>
      </c>
      <c r="H25" s="5">
        <v>44857</v>
      </c>
      <c r="I25" s="3">
        <v>20000</v>
      </c>
      <c r="J25" s="3">
        <v>6</v>
      </c>
      <c r="K25" s="3">
        <v>9372396296</v>
      </c>
      <c r="L25" s="3" t="s">
        <v>27</v>
      </c>
    </row>
    <row r="26" spans="2:12" ht="14.25" customHeight="1">
      <c r="B26" s="3" t="s">
        <v>44</v>
      </c>
      <c r="C26" s="3">
        <v>112</v>
      </c>
      <c r="D26" s="3" t="s">
        <v>14</v>
      </c>
      <c r="E26" s="4">
        <v>37047</v>
      </c>
      <c r="F26" s="3" t="s">
        <v>25</v>
      </c>
      <c r="G26" s="5">
        <v>44431</v>
      </c>
      <c r="H26" s="5">
        <v>45038</v>
      </c>
      <c r="I26" s="3">
        <v>18000</v>
      </c>
      <c r="J26" s="3">
        <v>1</v>
      </c>
      <c r="K26" s="3">
        <v>9756436801</v>
      </c>
      <c r="L26" s="3" t="s">
        <v>16</v>
      </c>
    </row>
    <row r="27" spans="2:12" ht="14.25" customHeight="1">
      <c r="B27" s="3" t="s">
        <v>45</v>
      </c>
      <c r="C27" s="3">
        <v>113</v>
      </c>
      <c r="D27" s="3" t="s">
        <v>14</v>
      </c>
      <c r="E27" s="4">
        <v>37089</v>
      </c>
      <c r="F27" s="3" t="s">
        <v>22</v>
      </c>
      <c r="G27" s="5">
        <v>44553</v>
      </c>
      <c r="H27" s="5">
        <v>44950</v>
      </c>
      <c r="I27" s="3">
        <v>35000</v>
      </c>
      <c r="J27" s="3">
        <v>6</v>
      </c>
      <c r="K27" s="3">
        <v>9260569132</v>
      </c>
      <c r="L27" s="3" t="s">
        <v>20</v>
      </c>
    </row>
    <row r="28" spans="2:12" ht="14.25" customHeight="1">
      <c r="B28" s="3" t="s">
        <v>46</v>
      </c>
      <c r="C28" s="3">
        <v>114</v>
      </c>
      <c r="D28" s="3" t="s">
        <v>18</v>
      </c>
      <c r="E28" s="4">
        <v>33699</v>
      </c>
      <c r="F28" s="3" t="s">
        <v>19</v>
      </c>
      <c r="G28" s="5">
        <v>44577</v>
      </c>
      <c r="H28" s="5">
        <v>45149</v>
      </c>
      <c r="I28" s="3">
        <v>20000</v>
      </c>
      <c r="J28" s="3">
        <v>3</v>
      </c>
      <c r="K28" s="3">
        <v>9521494464</v>
      </c>
      <c r="L28" s="3" t="s">
        <v>16</v>
      </c>
    </row>
    <row r="29" spans="2:12" ht="14.25" customHeight="1">
      <c r="B29" s="3" t="s">
        <v>47</v>
      </c>
      <c r="C29" s="3">
        <v>115</v>
      </c>
      <c r="D29" s="3" t="s">
        <v>18</v>
      </c>
      <c r="E29" s="4">
        <v>35431</v>
      </c>
      <c r="F29" s="3" t="s">
        <v>22</v>
      </c>
      <c r="G29" s="5">
        <v>44507</v>
      </c>
      <c r="H29" s="5">
        <v>44885</v>
      </c>
      <c r="I29" s="3">
        <v>18000</v>
      </c>
      <c r="J29" s="3">
        <v>7</v>
      </c>
      <c r="K29" s="3">
        <v>9592356344</v>
      </c>
      <c r="L29" s="3" t="s">
        <v>16</v>
      </c>
    </row>
    <row r="30" spans="2:12" ht="14.25" customHeight="1">
      <c r="B30" s="3" t="s">
        <v>48</v>
      </c>
      <c r="C30" s="3">
        <v>116</v>
      </c>
      <c r="D30" s="3" t="s">
        <v>18</v>
      </c>
      <c r="E30" s="4">
        <v>37062</v>
      </c>
      <c r="F30" s="3" t="s">
        <v>22</v>
      </c>
      <c r="G30" s="5">
        <v>44456</v>
      </c>
      <c r="H30" s="5">
        <v>44872</v>
      </c>
      <c r="I30" s="3">
        <v>20000</v>
      </c>
      <c r="J30" s="3">
        <v>10</v>
      </c>
      <c r="K30" s="3">
        <v>9420689442</v>
      </c>
      <c r="L30" s="3" t="s">
        <v>20</v>
      </c>
    </row>
    <row r="31" spans="2:12" ht="14.25" customHeight="1">
      <c r="B31" s="3" t="s">
        <v>49</v>
      </c>
      <c r="C31" s="3">
        <v>117</v>
      </c>
      <c r="D31" s="3" t="s">
        <v>18</v>
      </c>
      <c r="E31" s="4">
        <v>33962</v>
      </c>
      <c r="F31" s="3" t="s">
        <v>25</v>
      </c>
      <c r="G31" s="5">
        <v>44417</v>
      </c>
      <c r="H31" s="5">
        <v>44946</v>
      </c>
      <c r="I31" s="3">
        <v>20000</v>
      </c>
      <c r="J31" s="3">
        <v>10</v>
      </c>
      <c r="K31" s="3">
        <v>9323047053</v>
      </c>
      <c r="L31" s="3" t="s">
        <v>27</v>
      </c>
    </row>
    <row r="32" spans="2:12" ht="14.25" customHeight="1">
      <c r="B32" s="3" t="s">
        <v>50</v>
      </c>
      <c r="C32" s="3">
        <v>118</v>
      </c>
      <c r="D32" s="3" t="s">
        <v>14</v>
      </c>
      <c r="E32" s="4">
        <v>36619</v>
      </c>
      <c r="F32" s="3" t="s">
        <v>25</v>
      </c>
      <c r="G32" s="5">
        <v>44395</v>
      </c>
      <c r="H32" s="5">
        <v>44512</v>
      </c>
      <c r="I32" s="3">
        <v>35000</v>
      </c>
      <c r="J32" s="3">
        <v>7</v>
      </c>
      <c r="K32" s="3">
        <v>9175236256</v>
      </c>
      <c r="L32" s="3" t="s">
        <v>29</v>
      </c>
    </row>
    <row r="33" spans="2:12" ht="14.25" customHeight="1">
      <c r="B33" s="3" t="s">
        <v>51</v>
      </c>
      <c r="C33" s="3">
        <v>119</v>
      </c>
      <c r="D33" s="3" t="s">
        <v>14</v>
      </c>
      <c r="E33" s="4">
        <v>35339</v>
      </c>
      <c r="F33" s="3" t="s">
        <v>25</v>
      </c>
      <c r="G33" s="5">
        <v>44517</v>
      </c>
      <c r="H33" s="5">
        <v>44926</v>
      </c>
      <c r="I33" s="3">
        <v>35000</v>
      </c>
      <c r="J33" s="3">
        <v>6</v>
      </c>
      <c r="K33" s="3">
        <v>9650155772</v>
      </c>
      <c r="L33" s="3" t="s">
        <v>20</v>
      </c>
    </row>
    <row r="34" spans="2:12" ht="14.25" customHeight="1">
      <c r="B34" s="3" t="s">
        <v>52</v>
      </c>
      <c r="C34" s="3">
        <v>110</v>
      </c>
      <c r="D34" s="3" t="s">
        <v>14</v>
      </c>
      <c r="E34" s="4">
        <v>34578</v>
      </c>
      <c r="F34" s="3" t="s">
        <v>15</v>
      </c>
      <c r="G34" s="5">
        <v>44357</v>
      </c>
      <c r="H34" s="5">
        <v>44560</v>
      </c>
      <c r="I34" s="3">
        <v>10000</v>
      </c>
      <c r="J34" s="3">
        <v>7</v>
      </c>
      <c r="K34" s="3">
        <v>9108489803</v>
      </c>
      <c r="L34" s="3" t="s">
        <v>32</v>
      </c>
    </row>
    <row r="35" spans="2:12" ht="14.25" customHeight="1">
      <c r="B35" s="3" t="s">
        <v>53</v>
      </c>
      <c r="C35" s="3">
        <v>111</v>
      </c>
      <c r="D35" s="3" t="s">
        <v>14</v>
      </c>
      <c r="E35" s="4">
        <v>34635</v>
      </c>
      <c r="F35" s="3" t="s">
        <v>25</v>
      </c>
      <c r="G35" s="5">
        <v>44409</v>
      </c>
      <c r="H35" s="5">
        <v>45060</v>
      </c>
      <c r="I35" s="3">
        <v>18000</v>
      </c>
      <c r="J35" s="3">
        <v>5</v>
      </c>
      <c r="K35" s="3">
        <v>9175153983</v>
      </c>
      <c r="L35" s="3" t="s">
        <v>16</v>
      </c>
    </row>
    <row r="36" spans="2:12" ht="14.25" customHeight="1">
      <c r="B36" s="3" t="s">
        <v>54</v>
      </c>
      <c r="C36" s="3">
        <v>112</v>
      </c>
      <c r="D36" s="3" t="s">
        <v>18</v>
      </c>
      <c r="E36" s="4">
        <v>37176</v>
      </c>
      <c r="F36" s="3" t="s">
        <v>22</v>
      </c>
      <c r="G36" s="5">
        <v>44325</v>
      </c>
      <c r="H36" s="5">
        <v>44976</v>
      </c>
      <c r="I36" s="3">
        <v>10000</v>
      </c>
      <c r="J36" s="3">
        <v>3</v>
      </c>
      <c r="K36" s="3">
        <v>9256089954</v>
      </c>
      <c r="L36" s="3" t="s">
        <v>32</v>
      </c>
    </row>
    <row r="37" spans="2:12" ht="14.25" customHeight="1">
      <c r="B37" s="3" t="s">
        <v>55</v>
      </c>
      <c r="C37" s="3">
        <v>113</v>
      </c>
      <c r="D37" s="3" t="s">
        <v>14</v>
      </c>
      <c r="E37" s="4">
        <v>36068</v>
      </c>
      <c r="F37" s="3" t="s">
        <v>22</v>
      </c>
      <c r="G37" s="5">
        <v>44408</v>
      </c>
      <c r="H37" s="5">
        <v>44988</v>
      </c>
      <c r="I37" s="3">
        <v>35000</v>
      </c>
      <c r="J37" s="3">
        <v>4</v>
      </c>
      <c r="K37" s="3">
        <v>9471908056</v>
      </c>
      <c r="L37" s="3" t="s">
        <v>32</v>
      </c>
    </row>
    <row r="38" spans="2:12" ht="14.25" customHeight="1">
      <c r="B38" s="3" t="s">
        <v>56</v>
      </c>
      <c r="C38" s="3">
        <v>114</v>
      </c>
      <c r="D38" s="3" t="s">
        <v>14</v>
      </c>
      <c r="E38" s="4">
        <v>34912</v>
      </c>
      <c r="F38" s="3" t="s">
        <v>19</v>
      </c>
      <c r="G38" s="5">
        <v>44512</v>
      </c>
      <c r="H38" s="5">
        <v>44625</v>
      </c>
      <c r="I38" s="3">
        <v>35000</v>
      </c>
      <c r="J38" s="3">
        <v>7</v>
      </c>
      <c r="K38" s="3">
        <v>9361742681</v>
      </c>
      <c r="L38" s="3" t="s">
        <v>27</v>
      </c>
    </row>
    <row r="39" spans="2:12" ht="14.25" customHeight="1">
      <c r="B39" s="3" t="s">
        <v>57</v>
      </c>
      <c r="C39" s="3">
        <v>115</v>
      </c>
      <c r="D39" s="3" t="s">
        <v>14</v>
      </c>
      <c r="E39" s="4">
        <v>36437</v>
      </c>
      <c r="F39" s="3" t="s">
        <v>25</v>
      </c>
      <c r="G39" s="5">
        <v>44593</v>
      </c>
      <c r="H39" s="5">
        <v>45316</v>
      </c>
      <c r="I39" s="3">
        <v>20000</v>
      </c>
      <c r="J39" s="3">
        <v>6</v>
      </c>
      <c r="K39" s="3">
        <v>9550307866</v>
      </c>
      <c r="L39" s="3" t="s">
        <v>29</v>
      </c>
    </row>
    <row r="40" spans="2:12" ht="14.25" customHeight="1">
      <c r="B40" s="3" t="s">
        <v>58</v>
      </c>
      <c r="C40" s="3">
        <v>116</v>
      </c>
      <c r="D40" s="3" t="s">
        <v>18</v>
      </c>
      <c r="E40" s="4">
        <v>33535</v>
      </c>
      <c r="F40" s="3" t="s">
        <v>15</v>
      </c>
      <c r="G40" s="5">
        <v>44467</v>
      </c>
      <c r="H40" s="5">
        <v>44659</v>
      </c>
      <c r="I40" s="3">
        <v>10000</v>
      </c>
      <c r="J40" s="3">
        <v>7</v>
      </c>
      <c r="K40" s="3">
        <v>9456201256</v>
      </c>
      <c r="L40" s="3" t="s">
        <v>27</v>
      </c>
    </row>
    <row r="41" spans="2:12" ht="14.25" customHeight="1">
      <c r="B41" s="3" t="s">
        <v>59</v>
      </c>
      <c r="C41" s="3">
        <v>117</v>
      </c>
      <c r="D41" s="3" t="s">
        <v>18</v>
      </c>
      <c r="E41" s="4">
        <v>35077</v>
      </c>
      <c r="F41" s="3" t="s">
        <v>22</v>
      </c>
      <c r="G41" s="5">
        <v>44315</v>
      </c>
      <c r="H41" s="5">
        <v>44668</v>
      </c>
      <c r="I41" s="3">
        <v>10000</v>
      </c>
      <c r="J41" s="3">
        <v>2</v>
      </c>
      <c r="K41" s="3">
        <v>9234670550</v>
      </c>
      <c r="L41" s="3" t="s">
        <v>32</v>
      </c>
    </row>
    <row r="42" spans="2:12" ht="14.25" customHeight="1">
      <c r="B42" s="3" t="s">
        <v>60</v>
      </c>
      <c r="C42" s="3">
        <v>118</v>
      </c>
      <c r="D42" s="3" t="s">
        <v>14</v>
      </c>
      <c r="E42" s="4">
        <v>33690</v>
      </c>
      <c r="F42" s="3" t="s">
        <v>19</v>
      </c>
      <c r="G42" s="5">
        <v>44605</v>
      </c>
      <c r="H42" s="5">
        <v>45179</v>
      </c>
      <c r="I42" s="3">
        <v>35000</v>
      </c>
      <c r="J42" s="3">
        <v>9</v>
      </c>
      <c r="K42" s="3">
        <v>9623465455</v>
      </c>
      <c r="L42" s="3" t="s">
        <v>20</v>
      </c>
    </row>
    <row r="43" spans="2:12" ht="14.25" customHeight="1">
      <c r="B43" s="3" t="s">
        <v>61</v>
      </c>
      <c r="C43" s="3">
        <v>119</v>
      </c>
      <c r="D43" s="3" t="s">
        <v>14</v>
      </c>
      <c r="E43" s="4">
        <v>33880</v>
      </c>
      <c r="F43" s="3" t="s">
        <v>19</v>
      </c>
      <c r="G43" s="5">
        <v>44444</v>
      </c>
      <c r="H43" s="5">
        <v>44931</v>
      </c>
      <c r="I43" s="3">
        <v>10000</v>
      </c>
      <c r="J43" s="3">
        <v>8</v>
      </c>
      <c r="K43" s="3">
        <v>9257334815</v>
      </c>
      <c r="L43" s="3" t="s">
        <v>32</v>
      </c>
    </row>
    <row r="44" spans="2:12" ht="14.25" customHeight="1">
      <c r="B44" s="3" t="s">
        <v>62</v>
      </c>
      <c r="C44" s="3">
        <v>120</v>
      </c>
      <c r="D44" s="3" t="s">
        <v>18</v>
      </c>
      <c r="E44" s="4">
        <v>33960</v>
      </c>
      <c r="F44" s="3" t="s">
        <v>25</v>
      </c>
      <c r="G44" s="5">
        <v>44456</v>
      </c>
      <c r="H44" s="5">
        <v>44940</v>
      </c>
      <c r="I44" s="3">
        <v>35000</v>
      </c>
      <c r="J44" s="3">
        <v>10</v>
      </c>
      <c r="K44" s="3">
        <v>9463131191</v>
      </c>
      <c r="L44" s="3" t="s">
        <v>29</v>
      </c>
    </row>
    <row r="45" spans="2:12" ht="14.25" customHeight="1">
      <c r="B45" s="3" t="s">
        <v>63</v>
      </c>
      <c r="C45" s="3">
        <v>121</v>
      </c>
      <c r="D45" s="3" t="s">
        <v>14</v>
      </c>
      <c r="E45" s="4">
        <v>35680</v>
      </c>
      <c r="F45" s="3" t="s">
        <v>19</v>
      </c>
      <c r="G45" s="5">
        <v>44565</v>
      </c>
      <c r="H45" s="5">
        <v>45215</v>
      </c>
      <c r="I45" s="3">
        <v>18000</v>
      </c>
      <c r="J45" s="3">
        <v>3</v>
      </c>
      <c r="K45" s="3">
        <v>9659532373</v>
      </c>
      <c r="L45" s="3" t="s">
        <v>27</v>
      </c>
    </row>
    <row r="46" spans="2:12" ht="14.25" customHeight="1"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</row>
    <row r="47" spans="2:12" ht="14.25" customHeight="1"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</row>
    <row r="48" spans="2:12" ht="14.25" customHeight="1"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H1"/>
  </mergeCells>
  <conditionalFormatting sqref="I1:I4 I6:I1048576">
    <cfRule type="cellIs" dxfId="0" priority="1" operator="greaterThan">
      <formula>25000</formula>
    </cfRule>
  </conditionalFormatting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E1:M1000"/>
  <sheetViews>
    <sheetView workbookViewId="0">
      <selection activeCell="L13" sqref="L13"/>
    </sheetView>
  </sheetViews>
  <sheetFormatPr defaultColWidth="14.42578125" defaultRowHeight="15" customHeight="1"/>
  <cols>
    <col min="1" max="3" width="8.7109375" customWidth="1"/>
    <col min="4" max="4" width="4" customWidth="1"/>
    <col min="5" max="5" width="8.7109375" hidden="1" customWidth="1"/>
    <col min="6" max="8" width="8.7109375" customWidth="1"/>
    <col min="9" max="9" width="21.5703125" customWidth="1"/>
    <col min="10" max="26" width="8.7109375" customWidth="1"/>
  </cols>
  <sheetData>
    <row r="1" spans="6:13" ht="14.25" customHeight="1">
      <c r="F1" s="113" t="s">
        <v>339</v>
      </c>
      <c r="G1" s="100"/>
      <c r="H1" s="100"/>
      <c r="I1" s="100"/>
      <c r="J1" s="97"/>
      <c r="K1" s="114" t="s">
        <v>340</v>
      </c>
      <c r="L1" s="100"/>
      <c r="M1" s="100"/>
    </row>
    <row r="2" spans="6:13" ht="14.25" customHeight="1">
      <c r="F2" s="97"/>
      <c r="G2" s="97"/>
      <c r="H2" s="97"/>
      <c r="I2" s="97"/>
      <c r="J2" s="97"/>
      <c r="K2" s="97"/>
      <c r="L2" s="97"/>
      <c r="M2" s="97"/>
    </row>
    <row r="3" spans="6:13" ht="14.25" customHeight="1">
      <c r="F3" s="97"/>
      <c r="G3" s="97"/>
      <c r="H3" s="97"/>
      <c r="I3" s="97"/>
      <c r="J3" s="97"/>
      <c r="K3" s="97"/>
      <c r="L3" s="97"/>
      <c r="M3" s="97"/>
    </row>
    <row r="4" spans="6:13" ht="14.25" customHeight="1">
      <c r="F4" s="97"/>
      <c r="G4" s="75"/>
      <c r="H4" s="75"/>
      <c r="I4" s="97"/>
      <c r="J4" s="97"/>
      <c r="K4" s="97"/>
      <c r="L4" s="97"/>
      <c r="M4" s="97"/>
    </row>
    <row r="5" spans="6:13" ht="14.25" customHeight="1">
      <c r="F5" s="75"/>
      <c r="G5" s="91" t="s">
        <v>18</v>
      </c>
      <c r="H5" s="91" t="s">
        <v>19</v>
      </c>
      <c r="I5" s="75"/>
      <c r="J5" s="97"/>
      <c r="K5" s="97"/>
      <c r="L5" s="97"/>
      <c r="M5" s="97"/>
    </row>
    <row r="6" spans="6:13" ht="14.25" customHeight="1">
      <c r="F6" s="75"/>
      <c r="G6" s="92">
        <f>COUNTIF(Data!E5:E44,"Female")</f>
        <v>18</v>
      </c>
      <c r="H6" s="92">
        <f>COUNTIF(Data!G5:G44,"Hyd")</f>
        <v>8</v>
      </c>
      <c r="I6" s="75"/>
      <c r="J6" s="97"/>
      <c r="K6" s="97"/>
      <c r="L6" s="97"/>
      <c r="M6" s="97"/>
    </row>
    <row r="7" spans="6:13" ht="14.25" customHeight="1">
      <c r="F7" s="75"/>
      <c r="G7" s="75"/>
      <c r="H7" s="75"/>
      <c r="I7" s="75"/>
      <c r="J7" s="97"/>
      <c r="K7" s="97"/>
      <c r="L7" s="97"/>
      <c r="M7" s="97"/>
    </row>
    <row r="8" spans="6:13" ht="14.25" customHeight="1">
      <c r="F8" s="75"/>
      <c r="G8" s="97"/>
      <c r="H8" s="97"/>
      <c r="I8" s="75"/>
      <c r="J8" s="97"/>
      <c r="K8" s="97"/>
      <c r="L8" s="97"/>
      <c r="M8" s="97"/>
    </row>
    <row r="9" spans="6:13" ht="14.25" customHeight="1">
      <c r="F9" s="75"/>
      <c r="G9" s="97"/>
      <c r="H9" s="97"/>
      <c r="I9" s="75"/>
      <c r="J9" s="97"/>
      <c r="K9" s="97"/>
      <c r="L9" s="97"/>
      <c r="M9" s="97"/>
    </row>
    <row r="10" spans="6:13" ht="14.25" customHeight="1">
      <c r="F10" s="75"/>
      <c r="G10" s="97"/>
      <c r="H10" s="97"/>
      <c r="I10" s="75"/>
      <c r="J10" s="97"/>
      <c r="K10" s="97"/>
      <c r="L10" s="97"/>
      <c r="M10" s="97"/>
    </row>
    <row r="11" spans="6:13" ht="14.25" customHeight="1">
      <c r="F11" s="97"/>
      <c r="G11" s="97"/>
      <c r="H11" s="97"/>
      <c r="I11" s="97"/>
      <c r="J11" s="97"/>
      <c r="K11" s="97"/>
      <c r="L11" s="97"/>
      <c r="M11" s="97"/>
    </row>
    <row r="12" spans="6:13" ht="14.25" customHeight="1">
      <c r="F12" s="97"/>
      <c r="G12" s="97"/>
      <c r="H12" s="97"/>
      <c r="I12" s="97"/>
      <c r="J12" s="97"/>
      <c r="K12" s="97"/>
      <c r="L12" s="97"/>
      <c r="M12" s="97"/>
    </row>
    <row r="13" spans="6:13" ht="14.25" customHeight="1">
      <c r="F13" s="97"/>
      <c r="G13" s="97"/>
      <c r="H13" s="97"/>
      <c r="I13" s="97"/>
      <c r="J13" s="97"/>
      <c r="K13" s="97"/>
      <c r="L13" s="97"/>
      <c r="M13" s="97"/>
    </row>
    <row r="14" spans="6:13" ht="14.25" customHeight="1">
      <c r="F14" s="97"/>
      <c r="G14" s="97"/>
      <c r="H14" s="97"/>
      <c r="I14" s="97"/>
      <c r="J14" s="97"/>
      <c r="K14" s="97"/>
      <c r="L14" s="97"/>
      <c r="M14" s="97"/>
    </row>
    <row r="15" spans="6:13" ht="14.25" customHeight="1">
      <c r="F15" s="97"/>
      <c r="G15" s="97"/>
      <c r="H15" s="97"/>
      <c r="I15" s="97"/>
      <c r="J15" s="97"/>
      <c r="K15" s="97"/>
      <c r="L15" s="97"/>
      <c r="M15" s="97"/>
    </row>
    <row r="16" spans="6:13" ht="14.25" customHeight="1">
      <c r="F16" s="97"/>
      <c r="G16" s="97"/>
      <c r="H16" s="97"/>
      <c r="I16" s="97"/>
      <c r="J16" s="97"/>
      <c r="K16" s="97"/>
      <c r="L16" s="97"/>
      <c r="M16" s="97"/>
    </row>
    <row r="17" spans="7:8" ht="14.25" customHeight="1">
      <c r="G17" s="97"/>
      <c r="H17" s="97"/>
    </row>
    <row r="18" spans="7:8" ht="14.25" customHeight="1">
      <c r="G18" s="97"/>
      <c r="H18" s="97"/>
    </row>
    <row r="19" spans="7:8" ht="14.25" customHeight="1">
      <c r="G19" s="97"/>
      <c r="H19" s="97"/>
    </row>
    <row r="20" spans="7:8" ht="14.25" customHeight="1">
      <c r="G20" s="97"/>
      <c r="H20" s="97"/>
    </row>
    <row r="21" spans="7:8" ht="14.25" customHeight="1">
      <c r="G21" s="97"/>
      <c r="H21" s="97"/>
    </row>
    <row r="22" spans="7:8" ht="14.25" customHeight="1">
      <c r="G22" s="97"/>
      <c r="H22" s="97"/>
    </row>
    <row r="23" spans="7:8" ht="14.25" customHeight="1">
      <c r="G23" s="97"/>
      <c r="H23" s="97"/>
    </row>
    <row r="24" spans="7:8" ht="14.25" customHeight="1">
      <c r="G24" s="97"/>
      <c r="H24" s="97"/>
    </row>
    <row r="25" spans="7:8" ht="14.25" customHeight="1">
      <c r="G25" s="97"/>
      <c r="H25" s="97"/>
    </row>
    <row r="26" spans="7:8" ht="14.25" customHeight="1">
      <c r="G26" s="97"/>
      <c r="H26" s="97"/>
    </row>
    <row r="27" spans="7:8" ht="14.25" customHeight="1">
      <c r="G27" s="97"/>
      <c r="H27" s="97"/>
    </row>
    <row r="28" spans="7:8" ht="14.25" customHeight="1">
      <c r="G28" s="97"/>
      <c r="H28" s="97"/>
    </row>
    <row r="29" spans="7:8" ht="14.25" customHeight="1">
      <c r="G29" s="97"/>
      <c r="H29" s="97"/>
    </row>
    <row r="30" spans="7:8" ht="14.25" customHeight="1">
      <c r="G30" s="97"/>
      <c r="H30" s="97"/>
    </row>
    <row r="31" spans="7:8" ht="14.25" customHeight="1">
      <c r="G31" s="97"/>
      <c r="H31" s="97"/>
    </row>
    <row r="32" spans="7:8" ht="14.25" customHeight="1">
      <c r="G32" s="97"/>
      <c r="H32" s="97"/>
    </row>
    <row r="33" spans="7:8" ht="14.25" customHeight="1">
      <c r="G33" s="97"/>
      <c r="H33" s="97"/>
    </row>
    <row r="34" spans="7:8" ht="14.25" customHeight="1">
      <c r="G34" s="97"/>
      <c r="H34" s="97"/>
    </row>
    <row r="35" spans="7:8" ht="14.25" customHeight="1">
      <c r="G35" s="97"/>
      <c r="H35" s="97"/>
    </row>
    <row r="36" spans="7:8" ht="14.25" customHeight="1">
      <c r="G36" s="97"/>
      <c r="H36" s="97"/>
    </row>
    <row r="37" spans="7:8" ht="14.25" customHeight="1">
      <c r="G37" s="97"/>
      <c r="H37" s="97"/>
    </row>
    <row r="38" spans="7:8" ht="14.25" customHeight="1">
      <c r="G38" s="97"/>
      <c r="H38" s="97"/>
    </row>
    <row r="39" spans="7:8" ht="14.25" customHeight="1">
      <c r="G39" s="97"/>
      <c r="H39" s="97"/>
    </row>
    <row r="40" spans="7:8" ht="14.25" customHeight="1">
      <c r="G40" s="97"/>
      <c r="H40" s="97"/>
    </row>
    <row r="41" spans="7:8" ht="14.25" customHeight="1">
      <c r="G41" s="97"/>
      <c r="H41" s="97"/>
    </row>
    <row r="42" spans="7:8" ht="14.25" customHeight="1">
      <c r="G42" s="97"/>
      <c r="H42" s="97"/>
    </row>
    <row r="43" spans="7:8" ht="14.25" customHeight="1">
      <c r="G43" s="97"/>
      <c r="H43" s="97"/>
    </row>
    <row r="44" spans="7:8" ht="14.25" customHeight="1">
      <c r="G44" s="97"/>
      <c r="H44" s="97"/>
    </row>
    <row r="45" spans="7:8" ht="14.25" customHeight="1">
      <c r="G45" s="97"/>
      <c r="H45" s="97"/>
    </row>
    <row r="46" spans="7:8" ht="14.25" customHeight="1">
      <c r="G46" s="97"/>
      <c r="H46" s="97"/>
    </row>
    <row r="47" spans="7:8" ht="14.25" customHeight="1">
      <c r="G47" s="97"/>
      <c r="H47" s="97"/>
    </row>
    <row r="48" spans="7:8" ht="14.25" customHeight="1">
      <c r="G48" s="97"/>
      <c r="H48" s="97"/>
    </row>
    <row r="49" spans="7:8" ht="14.25" customHeight="1">
      <c r="G49" s="97"/>
      <c r="H49" s="97"/>
    </row>
    <row r="50" spans="7:8" ht="14.25" customHeight="1">
      <c r="G50" s="97"/>
      <c r="H50" s="97"/>
    </row>
    <row r="51" spans="7:8" ht="14.25" customHeight="1">
      <c r="G51" s="97"/>
      <c r="H51" s="97"/>
    </row>
    <row r="52" spans="7:8" ht="14.25" customHeight="1">
      <c r="G52" s="97"/>
      <c r="H52" s="97"/>
    </row>
    <row r="53" spans="7:8" ht="14.25" customHeight="1">
      <c r="G53" s="97"/>
      <c r="H53" s="97"/>
    </row>
    <row r="54" spans="7:8" ht="14.25" customHeight="1">
      <c r="G54" s="97"/>
      <c r="H54" s="97"/>
    </row>
    <row r="55" spans="7:8" ht="14.25" customHeight="1">
      <c r="G55" s="97"/>
      <c r="H55" s="97"/>
    </row>
    <row r="56" spans="7:8" ht="14.25" customHeight="1">
      <c r="G56" s="97"/>
      <c r="H56" s="97"/>
    </row>
    <row r="57" spans="7:8" ht="14.25" customHeight="1">
      <c r="G57" s="97"/>
      <c r="H57" s="97"/>
    </row>
    <row r="58" spans="7:8" ht="14.25" customHeight="1">
      <c r="G58" s="97"/>
      <c r="H58" s="97"/>
    </row>
    <row r="59" spans="7:8" ht="14.25" customHeight="1">
      <c r="G59" s="97"/>
      <c r="H59" s="97"/>
    </row>
    <row r="60" spans="7:8" ht="14.25" customHeight="1">
      <c r="G60" s="97"/>
      <c r="H60" s="97"/>
    </row>
    <row r="61" spans="7:8" ht="14.25" customHeight="1">
      <c r="G61" s="97"/>
      <c r="H61" s="97"/>
    </row>
    <row r="62" spans="7:8" ht="14.25" customHeight="1">
      <c r="G62" s="97"/>
      <c r="H62" s="97"/>
    </row>
    <row r="63" spans="7:8" ht="14.25" customHeight="1">
      <c r="G63" s="97"/>
      <c r="H63" s="97"/>
    </row>
    <row r="64" spans="7:8" ht="14.25" customHeight="1">
      <c r="G64" s="97"/>
      <c r="H64" s="97"/>
    </row>
    <row r="65" spans="7:8" ht="14.25" customHeight="1">
      <c r="G65" s="97"/>
      <c r="H65" s="97"/>
    </row>
    <row r="66" spans="7:8" ht="14.25" customHeight="1">
      <c r="G66" s="97"/>
      <c r="H66" s="97"/>
    </row>
    <row r="67" spans="7:8" ht="14.25" customHeight="1">
      <c r="G67" s="97"/>
      <c r="H67" s="97"/>
    </row>
    <row r="68" spans="7:8" ht="14.25" customHeight="1">
      <c r="G68" s="97"/>
      <c r="H68" s="97"/>
    </row>
    <row r="69" spans="7:8" ht="14.25" customHeight="1">
      <c r="G69" s="97"/>
      <c r="H69" s="97"/>
    </row>
    <row r="70" spans="7:8" ht="14.25" customHeight="1">
      <c r="G70" s="97"/>
      <c r="H70" s="97"/>
    </row>
    <row r="71" spans="7:8" ht="14.25" customHeight="1">
      <c r="G71" s="97"/>
      <c r="H71" s="97"/>
    </row>
    <row r="72" spans="7:8" ht="14.25" customHeight="1">
      <c r="G72" s="97"/>
      <c r="H72" s="97"/>
    </row>
    <row r="73" spans="7:8" ht="14.25" customHeight="1">
      <c r="G73" s="97"/>
      <c r="H73" s="97"/>
    </row>
    <row r="74" spans="7:8" ht="14.25" customHeight="1">
      <c r="G74" s="97"/>
      <c r="H74" s="97"/>
    </row>
    <row r="75" spans="7:8" ht="14.25" customHeight="1">
      <c r="G75" s="97"/>
      <c r="H75" s="97"/>
    </row>
    <row r="76" spans="7:8" ht="14.25" customHeight="1">
      <c r="G76" s="97"/>
      <c r="H76" s="97"/>
    </row>
    <row r="77" spans="7:8" ht="14.25" customHeight="1">
      <c r="G77" s="97"/>
      <c r="H77" s="97"/>
    </row>
    <row r="78" spans="7:8" ht="14.25" customHeight="1">
      <c r="G78" s="97"/>
      <c r="H78" s="97"/>
    </row>
    <row r="79" spans="7:8" ht="14.25" customHeight="1">
      <c r="G79" s="97"/>
      <c r="H79" s="97"/>
    </row>
    <row r="80" spans="7:8" ht="14.25" customHeight="1">
      <c r="G80" s="97"/>
      <c r="H80" s="97"/>
    </row>
    <row r="81" spans="7:8" ht="14.25" customHeight="1">
      <c r="G81" s="97"/>
      <c r="H81" s="97"/>
    </row>
    <row r="82" spans="7:8" ht="14.25" customHeight="1">
      <c r="G82" s="97"/>
      <c r="H82" s="97"/>
    </row>
    <row r="83" spans="7:8" ht="14.25" customHeight="1">
      <c r="G83" s="97"/>
      <c r="H83" s="97"/>
    </row>
    <row r="84" spans="7:8" ht="14.25" customHeight="1">
      <c r="G84" s="97"/>
      <c r="H84" s="97"/>
    </row>
    <row r="85" spans="7:8" ht="14.25" customHeight="1">
      <c r="G85" s="97"/>
      <c r="H85" s="97"/>
    </row>
    <row r="86" spans="7:8" ht="14.25" customHeight="1">
      <c r="G86" s="97"/>
      <c r="H86" s="97"/>
    </row>
    <row r="87" spans="7:8" ht="14.25" customHeight="1">
      <c r="G87" s="97"/>
      <c r="H87" s="97"/>
    </row>
    <row r="88" spans="7:8" ht="14.25" customHeight="1">
      <c r="G88" s="97"/>
      <c r="H88" s="97"/>
    </row>
    <row r="89" spans="7:8" ht="14.25" customHeight="1">
      <c r="G89" s="97"/>
      <c r="H89" s="97"/>
    </row>
    <row r="90" spans="7:8" ht="14.25" customHeight="1">
      <c r="G90" s="97"/>
      <c r="H90" s="97"/>
    </row>
    <row r="91" spans="7:8" ht="14.25" customHeight="1">
      <c r="G91" s="97"/>
      <c r="H91" s="97"/>
    </row>
    <row r="92" spans="7:8" ht="14.25" customHeight="1">
      <c r="G92" s="97"/>
      <c r="H92" s="97"/>
    </row>
    <row r="93" spans="7:8" ht="14.25" customHeight="1">
      <c r="G93" s="97"/>
      <c r="H93" s="97"/>
    </row>
    <row r="94" spans="7:8" ht="14.25" customHeight="1">
      <c r="G94" s="97"/>
      <c r="H94" s="97"/>
    </row>
    <row r="95" spans="7:8" ht="14.25" customHeight="1">
      <c r="G95" s="97"/>
      <c r="H95" s="97"/>
    </row>
    <row r="96" spans="7:8" ht="14.25" customHeight="1">
      <c r="G96" s="97"/>
      <c r="H96" s="97"/>
    </row>
    <row r="97" spans="7:8" ht="14.25" customHeight="1">
      <c r="G97" s="97"/>
      <c r="H97" s="97"/>
    </row>
    <row r="98" spans="7:8" ht="14.25" customHeight="1">
      <c r="G98" s="97"/>
      <c r="H98" s="97"/>
    </row>
    <row r="99" spans="7:8" ht="14.25" customHeight="1">
      <c r="G99" s="97"/>
      <c r="H99" s="97"/>
    </row>
    <row r="100" spans="7:8" ht="14.25" customHeight="1">
      <c r="G100" s="97"/>
      <c r="H100" s="97"/>
    </row>
    <row r="101" spans="7:8" ht="14.25" customHeight="1">
      <c r="G101" s="97"/>
      <c r="H101" s="97"/>
    </row>
    <row r="102" spans="7:8" ht="14.25" customHeight="1">
      <c r="G102" s="97"/>
      <c r="H102" s="97"/>
    </row>
    <row r="103" spans="7:8" ht="14.25" customHeight="1">
      <c r="G103" s="97"/>
      <c r="H103" s="97"/>
    </row>
    <row r="104" spans="7:8" ht="14.25" customHeight="1">
      <c r="G104" s="97"/>
      <c r="H104" s="97"/>
    </row>
    <row r="105" spans="7:8" ht="14.25" customHeight="1">
      <c r="G105" s="97"/>
      <c r="H105" s="97"/>
    </row>
    <row r="106" spans="7:8" ht="14.25" customHeight="1">
      <c r="G106" s="97"/>
      <c r="H106" s="97"/>
    </row>
    <row r="107" spans="7:8" ht="14.25" customHeight="1">
      <c r="G107" s="97"/>
      <c r="H107" s="97"/>
    </row>
    <row r="108" spans="7:8" ht="14.25" customHeight="1">
      <c r="G108" s="97"/>
      <c r="H108" s="97"/>
    </row>
    <row r="109" spans="7:8" ht="14.25" customHeight="1">
      <c r="G109" s="97"/>
      <c r="H109" s="97"/>
    </row>
    <row r="110" spans="7:8" ht="14.25" customHeight="1">
      <c r="G110" s="97"/>
      <c r="H110" s="97"/>
    </row>
    <row r="111" spans="7:8" ht="14.25" customHeight="1">
      <c r="G111" s="97"/>
      <c r="H111" s="97"/>
    </row>
    <row r="112" spans="7:8" ht="14.25" customHeight="1">
      <c r="G112" s="97"/>
      <c r="H112" s="97"/>
    </row>
    <row r="113" spans="7:8" ht="14.25" customHeight="1">
      <c r="G113" s="97"/>
      <c r="H113" s="97"/>
    </row>
    <row r="114" spans="7:8" ht="14.25" customHeight="1">
      <c r="G114" s="97"/>
      <c r="H114" s="97"/>
    </row>
    <row r="115" spans="7:8" ht="14.25" customHeight="1">
      <c r="G115" s="97"/>
      <c r="H115" s="97"/>
    </row>
    <row r="116" spans="7:8" ht="14.25" customHeight="1">
      <c r="G116" s="97"/>
      <c r="H116" s="97"/>
    </row>
    <row r="117" spans="7:8" ht="14.25" customHeight="1">
      <c r="G117" s="97"/>
      <c r="H117" s="97"/>
    </row>
    <row r="118" spans="7:8" ht="14.25" customHeight="1">
      <c r="G118" s="97"/>
      <c r="H118" s="97"/>
    </row>
    <row r="119" spans="7:8" ht="14.25" customHeight="1">
      <c r="G119" s="97"/>
      <c r="H119" s="97"/>
    </row>
    <row r="120" spans="7:8" ht="14.25" customHeight="1">
      <c r="G120" s="97"/>
      <c r="H120" s="97"/>
    </row>
    <row r="121" spans="7:8" ht="14.25" customHeight="1">
      <c r="G121" s="97"/>
      <c r="H121" s="97"/>
    </row>
    <row r="122" spans="7:8" ht="14.25" customHeight="1">
      <c r="G122" s="97"/>
      <c r="H122" s="97"/>
    </row>
    <row r="123" spans="7:8" ht="14.25" customHeight="1">
      <c r="G123" s="97"/>
      <c r="H123" s="97"/>
    </row>
    <row r="124" spans="7:8" ht="14.25" customHeight="1">
      <c r="G124" s="97"/>
      <c r="H124" s="97"/>
    </row>
    <row r="125" spans="7:8" ht="14.25" customHeight="1">
      <c r="G125" s="97"/>
      <c r="H125" s="97"/>
    </row>
    <row r="126" spans="7:8" ht="14.25" customHeight="1">
      <c r="G126" s="97"/>
      <c r="H126" s="97"/>
    </row>
    <row r="127" spans="7:8" ht="14.25" customHeight="1">
      <c r="G127" s="97"/>
      <c r="H127" s="97"/>
    </row>
    <row r="128" spans="7:8" ht="14.25" customHeight="1">
      <c r="G128" s="97"/>
      <c r="H128" s="97"/>
    </row>
    <row r="129" spans="7:8" ht="14.25" customHeight="1">
      <c r="G129" s="97"/>
      <c r="H129" s="97"/>
    </row>
    <row r="130" spans="7:8" ht="14.25" customHeight="1">
      <c r="G130" s="97"/>
      <c r="H130" s="97"/>
    </row>
    <row r="131" spans="7:8" ht="14.25" customHeight="1">
      <c r="G131" s="97"/>
      <c r="H131" s="97"/>
    </row>
    <row r="132" spans="7:8" ht="14.25" customHeight="1">
      <c r="G132" s="97"/>
      <c r="H132" s="97"/>
    </row>
    <row r="133" spans="7:8" ht="14.25" customHeight="1">
      <c r="G133" s="97"/>
      <c r="H133" s="97"/>
    </row>
    <row r="134" spans="7:8" ht="14.25" customHeight="1">
      <c r="G134" s="97"/>
      <c r="H134" s="97"/>
    </row>
    <row r="135" spans="7:8" ht="14.25" customHeight="1">
      <c r="G135" s="97"/>
      <c r="H135" s="97"/>
    </row>
    <row r="136" spans="7:8" ht="14.25" customHeight="1">
      <c r="G136" s="97"/>
      <c r="H136" s="97"/>
    </row>
    <row r="137" spans="7:8" ht="14.25" customHeight="1">
      <c r="G137" s="97"/>
      <c r="H137" s="97"/>
    </row>
    <row r="138" spans="7:8" ht="14.25" customHeight="1">
      <c r="G138" s="97"/>
      <c r="H138" s="97"/>
    </row>
    <row r="139" spans="7:8" ht="14.25" customHeight="1">
      <c r="G139" s="97"/>
      <c r="H139" s="97"/>
    </row>
    <row r="140" spans="7:8" ht="14.25" customHeight="1">
      <c r="G140" s="97"/>
      <c r="H140" s="97"/>
    </row>
    <row r="141" spans="7:8" ht="14.25" customHeight="1">
      <c r="G141" s="97"/>
      <c r="H141" s="97"/>
    </row>
    <row r="142" spans="7:8" ht="14.25" customHeight="1">
      <c r="G142" s="97"/>
      <c r="H142" s="97"/>
    </row>
    <row r="143" spans="7:8" ht="14.25" customHeight="1">
      <c r="G143" s="97"/>
      <c r="H143" s="97"/>
    </row>
    <row r="144" spans="7:8" ht="14.25" customHeight="1">
      <c r="G144" s="97"/>
      <c r="H144" s="97"/>
    </row>
    <row r="145" spans="7:8" ht="14.25" customHeight="1">
      <c r="G145" s="97"/>
      <c r="H145" s="97"/>
    </row>
    <row r="146" spans="7:8" ht="14.25" customHeight="1">
      <c r="G146" s="97"/>
      <c r="H146" s="97"/>
    </row>
    <row r="147" spans="7:8" ht="14.25" customHeight="1">
      <c r="G147" s="97"/>
      <c r="H147" s="97"/>
    </row>
    <row r="148" spans="7:8" ht="14.25" customHeight="1">
      <c r="G148" s="97"/>
      <c r="H148" s="97"/>
    </row>
    <row r="149" spans="7:8" ht="14.25" customHeight="1">
      <c r="G149" s="97"/>
      <c r="H149" s="97"/>
    </row>
    <row r="150" spans="7:8" ht="14.25" customHeight="1">
      <c r="G150" s="97"/>
      <c r="H150" s="97"/>
    </row>
    <row r="151" spans="7:8" ht="14.25" customHeight="1">
      <c r="G151" s="97"/>
      <c r="H151" s="97"/>
    </row>
    <row r="152" spans="7:8" ht="14.25" customHeight="1">
      <c r="G152" s="97"/>
      <c r="H152" s="97"/>
    </row>
    <row r="153" spans="7:8" ht="14.25" customHeight="1">
      <c r="G153" s="97"/>
      <c r="H153" s="97"/>
    </row>
    <row r="154" spans="7:8" ht="14.25" customHeight="1">
      <c r="G154" s="97"/>
      <c r="H154" s="97"/>
    </row>
    <row r="155" spans="7:8" ht="14.25" customHeight="1">
      <c r="G155" s="97"/>
      <c r="H155" s="97"/>
    </row>
    <row r="156" spans="7:8" ht="14.25" customHeight="1">
      <c r="G156" s="97"/>
      <c r="H156" s="97"/>
    </row>
    <row r="157" spans="7:8" ht="14.25" customHeight="1">
      <c r="G157" s="97"/>
      <c r="H157" s="97"/>
    </row>
    <row r="158" spans="7:8" ht="14.25" customHeight="1">
      <c r="G158" s="97"/>
      <c r="H158" s="97"/>
    </row>
    <row r="159" spans="7:8" ht="14.25" customHeight="1">
      <c r="G159" s="97"/>
      <c r="H159" s="97"/>
    </row>
    <row r="160" spans="7:8" ht="14.25" customHeight="1">
      <c r="G160" s="97"/>
      <c r="H160" s="97"/>
    </row>
    <row r="161" spans="7:8" ht="14.25" customHeight="1">
      <c r="G161" s="97"/>
      <c r="H161" s="97"/>
    </row>
    <row r="162" spans="7:8" ht="14.25" customHeight="1">
      <c r="G162" s="97"/>
      <c r="H162" s="97"/>
    </row>
    <row r="163" spans="7:8" ht="14.25" customHeight="1">
      <c r="G163" s="97"/>
      <c r="H163" s="97"/>
    </row>
    <row r="164" spans="7:8" ht="14.25" customHeight="1">
      <c r="G164" s="97"/>
      <c r="H164" s="97"/>
    </row>
    <row r="165" spans="7:8" ht="14.25" customHeight="1">
      <c r="G165" s="97"/>
      <c r="H165" s="97"/>
    </row>
    <row r="166" spans="7:8" ht="14.25" customHeight="1">
      <c r="G166" s="97"/>
      <c r="H166" s="97"/>
    </row>
    <row r="167" spans="7:8" ht="14.25" customHeight="1">
      <c r="G167" s="97"/>
      <c r="H167" s="97"/>
    </row>
    <row r="168" spans="7:8" ht="14.25" customHeight="1">
      <c r="G168" s="97"/>
      <c r="H168" s="97"/>
    </row>
    <row r="169" spans="7:8" ht="14.25" customHeight="1">
      <c r="G169" s="97"/>
      <c r="H169" s="97"/>
    </row>
    <row r="170" spans="7:8" ht="14.25" customHeight="1">
      <c r="G170" s="97"/>
      <c r="H170" s="97"/>
    </row>
    <row r="171" spans="7:8" ht="14.25" customHeight="1">
      <c r="G171" s="97"/>
      <c r="H171" s="97"/>
    </row>
    <row r="172" spans="7:8" ht="14.25" customHeight="1">
      <c r="G172" s="97"/>
      <c r="H172" s="97"/>
    </row>
    <row r="173" spans="7:8" ht="14.25" customHeight="1">
      <c r="G173" s="97"/>
      <c r="H173" s="97"/>
    </row>
    <row r="174" spans="7:8" ht="14.25" customHeight="1">
      <c r="G174" s="97"/>
      <c r="H174" s="97"/>
    </row>
    <row r="175" spans="7:8" ht="14.25" customHeight="1">
      <c r="G175" s="97"/>
      <c r="H175" s="97"/>
    </row>
    <row r="176" spans="7:8" ht="14.25" customHeight="1">
      <c r="G176" s="97"/>
      <c r="H176" s="97"/>
    </row>
    <row r="177" spans="7:8" ht="14.25" customHeight="1">
      <c r="G177" s="97"/>
      <c r="H177" s="97"/>
    </row>
    <row r="178" spans="7:8" ht="14.25" customHeight="1">
      <c r="G178" s="97"/>
      <c r="H178" s="97"/>
    </row>
    <row r="179" spans="7:8" ht="14.25" customHeight="1">
      <c r="G179" s="97"/>
      <c r="H179" s="97"/>
    </row>
    <row r="180" spans="7:8" ht="14.25" customHeight="1">
      <c r="G180" s="97"/>
      <c r="H180" s="97"/>
    </row>
    <row r="181" spans="7:8" ht="14.25" customHeight="1">
      <c r="G181" s="97"/>
      <c r="H181" s="97"/>
    </row>
    <row r="182" spans="7:8" ht="14.25" customHeight="1">
      <c r="G182" s="97"/>
      <c r="H182" s="97"/>
    </row>
    <row r="183" spans="7:8" ht="14.25" customHeight="1">
      <c r="G183" s="97"/>
      <c r="H183" s="97"/>
    </row>
    <row r="184" spans="7:8" ht="14.25" customHeight="1">
      <c r="G184" s="97"/>
      <c r="H184" s="97"/>
    </row>
    <row r="185" spans="7:8" ht="14.25" customHeight="1">
      <c r="G185" s="97"/>
      <c r="H185" s="97"/>
    </row>
    <row r="186" spans="7:8" ht="14.25" customHeight="1">
      <c r="G186" s="97"/>
      <c r="H186" s="97"/>
    </row>
    <row r="187" spans="7:8" ht="14.25" customHeight="1">
      <c r="G187" s="97"/>
      <c r="H187" s="97"/>
    </row>
    <row r="188" spans="7:8" ht="14.25" customHeight="1">
      <c r="G188" s="97"/>
      <c r="H188" s="97"/>
    </row>
    <row r="189" spans="7:8" ht="14.25" customHeight="1">
      <c r="G189" s="97"/>
      <c r="H189" s="97"/>
    </row>
    <row r="190" spans="7:8" ht="14.25" customHeight="1">
      <c r="G190" s="97"/>
      <c r="H190" s="97"/>
    </row>
    <row r="191" spans="7:8" ht="14.25" customHeight="1">
      <c r="G191" s="97"/>
      <c r="H191" s="97"/>
    </row>
    <row r="192" spans="7:8" ht="14.25" customHeight="1">
      <c r="G192" s="97"/>
      <c r="H192" s="97"/>
    </row>
    <row r="193" spans="7:8" ht="14.25" customHeight="1">
      <c r="G193" s="97"/>
      <c r="H193" s="97"/>
    </row>
    <row r="194" spans="7:8" ht="14.25" customHeight="1">
      <c r="G194" s="97"/>
      <c r="H194" s="97"/>
    </row>
    <row r="195" spans="7:8" ht="14.25" customHeight="1">
      <c r="G195" s="97"/>
      <c r="H195" s="97"/>
    </row>
    <row r="196" spans="7:8" ht="14.25" customHeight="1">
      <c r="G196" s="97"/>
      <c r="H196" s="97"/>
    </row>
    <row r="197" spans="7:8" ht="14.25" customHeight="1">
      <c r="G197" s="97"/>
      <c r="H197" s="97"/>
    </row>
    <row r="198" spans="7:8" ht="14.25" customHeight="1">
      <c r="G198" s="97"/>
      <c r="H198" s="97"/>
    </row>
    <row r="199" spans="7:8" ht="14.25" customHeight="1">
      <c r="G199" s="97"/>
      <c r="H199" s="97"/>
    </row>
    <row r="200" spans="7:8" ht="14.25" customHeight="1">
      <c r="G200" s="97"/>
      <c r="H200" s="97"/>
    </row>
    <row r="201" spans="7:8" ht="14.25" customHeight="1">
      <c r="G201" s="97"/>
      <c r="H201" s="97"/>
    </row>
    <row r="202" spans="7:8" ht="14.25" customHeight="1">
      <c r="G202" s="97"/>
      <c r="H202" s="97"/>
    </row>
    <row r="203" spans="7:8" ht="14.25" customHeight="1">
      <c r="G203" s="97"/>
      <c r="H203" s="97"/>
    </row>
    <row r="204" spans="7:8" ht="14.25" customHeight="1">
      <c r="G204" s="97"/>
      <c r="H204" s="97"/>
    </row>
    <row r="205" spans="7:8" ht="14.25" customHeight="1">
      <c r="G205" s="97"/>
      <c r="H205" s="97"/>
    </row>
    <row r="206" spans="7:8" ht="14.25" customHeight="1">
      <c r="G206" s="97"/>
      <c r="H206" s="97"/>
    </row>
    <row r="207" spans="7:8" ht="14.25" customHeight="1">
      <c r="G207" s="97"/>
      <c r="H207" s="97"/>
    </row>
    <row r="208" spans="7:8" ht="14.25" customHeight="1">
      <c r="G208" s="97"/>
      <c r="H208" s="97"/>
    </row>
    <row r="209" spans="7:8" ht="14.25" customHeight="1">
      <c r="G209" s="97"/>
      <c r="H209" s="97"/>
    </row>
    <row r="210" spans="7:8" ht="14.25" customHeight="1">
      <c r="G210" s="97"/>
      <c r="H210" s="97"/>
    </row>
    <row r="211" spans="7:8" ht="14.25" customHeight="1">
      <c r="G211" s="97"/>
      <c r="H211" s="97"/>
    </row>
    <row r="212" spans="7:8" ht="14.25" customHeight="1">
      <c r="G212" s="97"/>
      <c r="H212" s="97"/>
    </row>
    <row r="213" spans="7:8" ht="14.25" customHeight="1">
      <c r="G213" s="97"/>
      <c r="H213" s="97"/>
    </row>
    <row r="214" spans="7:8" ht="14.25" customHeight="1">
      <c r="G214" s="97"/>
      <c r="H214" s="97"/>
    </row>
    <row r="215" spans="7:8" ht="14.25" customHeight="1">
      <c r="G215" s="97"/>
      <c r="H215" s="97"/>
    </row>
    <row r="216" spans="7:8" ht="14.25" customHeight="1">
      <c r="G216" s="97"/>
      <c r="H216" s="97"/>
    </row>
    <row r="217" spans="7:8" ht="14.25" customHeight="1">
      <c r="G217" s="97"/>
      <c r="H217" s="97"/>
    </row>
    <row r="218" spans="7:8" ht="14.25" customHeight="1">
      <c r="G218" s="97"/>
      <c r="H218" s="97"/>
    </row>
    <row r="219" spans="7:8" ht="14.25" customHeight="1">
      <c r="G219" s="97"/>
      <c r="H219" s="97"/>
    </row>
    <row r="220" spans="7:8" ht="14.25" customHeight="1">
      <c r="G220" s="97"/>
      <c r="H220" s="97"/>
    </row>
    <row r="221" spans="7:8" ht="14.25" customHeight="1">
      <c r="G221" s="97"/>
      <c r="H221" s="97"/>
    </row>
    <row r="222" spans="7:8" ht="14.25" customHeight="1">
      <c r="G222" s="97"/>
      <c r="H222" s="97"/>
    </row>
    <row r="223" spans="7:8" ht="14.25" customHeight="1">
      <c r="G223" s="97"/>
      <c r="H223" s="97"/>
    </row>
    <row r="224" spans="7:8" ht="14.25" customHeight="1">
      <c r="G224" s="97"/>
      <c r="H224" s="97"/>
    </row>
    <row r="225" spans="7:8" ht="14.25" customHeight="1">
      <c r="G225" s="97"/>
      <c r="H225" s="97"/>
    </row>
    <row r="226" spans="7:8" ht="14.25" customHeight="1">
      <c r="G226" s="97"/>
      <c r="H226" s="97"/>
    </row>
    <row r="227" spans="7:8" ht="14.25" customHeight="1">
      <c r="G227" s="97"/>
      <c r="H227" s="97"/>
    </row>
    <row r="228" spans="7:8" ht="14.25" customHeight="1">
      <c r="G228" s="97"/>
      <c r="H228" s="97"/>
    </row>
    <row r="229" spans="7:8" ht="14.25" customHeight="1">
      <c r="G229" s="97"/>
      <c r="H229" s="97"/>
    </row>
    <row r="230" spans="7:8" ht="14.25" customHeight="1">
      <c r="G230" s="97"/>
      <c r="H230" s="97"/>
    </row>
    <row r="231" spans="7:8" ht="14.25" customHeight="1">
      <c r="G231" s="97"/>
      <c r="H231" s="97"/>
    </row>
    <row r="232" spans="7:8" ht="14.25" customHeight="1">
      <c r="G232" s="97"/>
      <c r="H232" s="97"/>
    </row>
    <row r="233" spans="7:8" ht="14.25" customHeight="1">
      <c r="G233" s="97"/>
      <c r="H233" s="97"/>
    </row>
    <row r="234" spans="7:8" ht="14.25" customHeight="1">
      <c r="G234" s="97"/>
      <c r="H234" s="97"/>
    </row>
    <row r="235" spans="7:8" ht="14.25" customHeight="1">
      <c r="G235" s="97"/>
      <c r="H235" s="97"/>
    </row>
    <row r="236" spans="7:8" ht="14.25" customHeight="1">
      <c r="G236" s="97"/>
      <c r="H236" s="97"/>
    </row>
    <row r="237" spans="7:8" ht="14.25" customHeight="1">
      <c r="G237" s="97"/>
      <c r="H237" s="97"/>
    </row>
    <row r="238" spans="7:8" ht="14.25" customHeight="1">
      <c r="G238" s="97"/>
      <c r="H238" s="97"/>
    </row>
    <row r="239" spans="7:8" ht="14.25" customHeight="1">
      <c r="G239" s="97"/>
      <c r="H239" s="97"/>
    </row>
    <row r="240" spans="7:8" ht="14.25" customHeight="1">
      <c r="G240" s="97"/>
      <c r="H240" s="97"/>
    </row>
    <row r="241" spans="7:8" ht="14.25" customHeight="1">
      <c r="G241" s="97"/>
      <c r="H241" s="97"/>
    </row>
    <row r="242" spans="7:8" ht="14.25" customHeight="1">
      <c r="G242" s="97"/>
      <c r="H242" s="97"/>
    </row>
    <row r="243" spans="7:8" ht="14.25" customHeight="1">
      <c r="G243" s="97"/>
      <c r="H243" s="97"/>
    </row>
    <row r="244" spans="7:8" ht="14.25" customHeight="1">
      <c r="G244" s="97"/>
      <c r="H244" s="97"/>
    </row>
    <row r="245" spans="7:8" ht="14.25" customHeight="1">
      <c r="G245" s="97"/>
      <c r="H245" s="97"/>
    </row>
    <row r="246" spans="7:8" ht="14.25" customHeight="1">
      <c r="G246" s="97"/>
      <c r="H246" s="97"/>
    </row>
    <row r="247" spans="7:8" ht="14.25" customHeight="1">
      <c r="G247" s="97"/>
      <c r="H247" s="97"/>
    </row>
    <row r="248" spans="7:8" ht="14.25" customHeight="1">
      <c r="G248" s="97"/>
      <c r="H248" s="97"/>
    </row>
    <row r="249" spans="7:8" ht="14.25" customHeight="1">
      <c r="G249" s="97"/>
      <c r="H249" s="97"/>
    </row>
    <row r="250" spans="7:8" ht="14.25" customHeight="1">
      <c r="G250" s="97"/>
      <c r="H250" s="97"/>
    </row>
    <row r="251" spans="7:8" ht="14.25" customHeight="1">
      <c r="G251" s="97"/>
      <c r="H251" s="97"/>
    </row>
    <row r="252" spans="7:8" ht="14.25" customHeight="1">
      <c r="G252" s="97"/>
      <c r="H252" s="97"/>
    </row>
    <row r="253" spans="7:8" ht="14.25" customHeight="1">
      <c r="G253" s="97"/>
      <c r="H253" s="97"/>
    </row>
    <row r="254" spans="7:8" ht="14.25" customHeight="1">
      <c r="G254" s="97"/>
      <c r="H254" s="97"/>
    </row>
    <row r="255" spans="7:8" ht="14.25" customHeight="1">
      <c r="G255" s="97"/>
      <c r="H255" s="97"/>
    </row>
    <row r="256" spans="7:8" ht="14.25" customHeight="1">
      <c r="G256" s="97"/>
      <c r="H256" s="97"/>
    </row>
    <row r="257" spans="7:8" ht="14.25" customHeight="1">
      <c r="G257" s="97"/>
      <c r="H257" s="97"/>
    </row>
    <row r="258" spans="7:8" ht="14.25" customHeight="1">
      <c r="G258" s="97"/>
      <c r="H258" s="97"/>
    </row>
    <row r="259" spans="7:8" ht="14.25" customHeight="1">
      <c r="G259" s="97"/>
      <c r="H259" s="97"/>
    </row>
    <row r="260" spans="7:8" ht="14.25" customHeight="1">
      <c r="G260" s="97"/>
      <c r="H260" s="97"/>
    </row>
    <row r="261" spans="7:8" ht="14.25" customHeight="1">
      <c r="G261" s="97"/>
      <c r="H261" s="97"/>
    </row>
    <row r="262" spans="7:8" ht="14.25" customHeight="1">
      <c r="G262" s="97"/>
      <c r="H262" s="97"/>
    </row>
    <row r="263" spans="7:8" ht="14.25" customHeight="1">
      <c r="G263" s="97"/>
      <c r="H263" s="97"/>
    </row>
    <row r="264" spans="7:8" ht="14.25" customHeight="1">
      <c r="G264" s="97"/>
      <c r="H264" s="97"/>
    </row>
    <row r="265" spans="7:8" ht="14.25" customHeight="1">
      <c r="G265" s="97"/>
      <c r="H265" s="97"/>
    </row>
    <row r="266" spans="7:8" ht="14.25" customHeight="1">
      <c r="G266" s="97"/>
      <c r="H266" s="97"/>
    </row>
    <row r="267" spans="7:8" ht="14.25" customHeight="1">
      <c r="G267" s="97"/>
      <c r="H267" s="97"/>
    </row>
    <row r="268" spans="7:8" ht="14.25" customHeight="1">
      <c r="G268" s="97"/>
      <c r="H268" s="97"/>
    </row>
    <row r="269" spans="7:8" ht="14.25" customHeight="1">
      <c r="G269" s="97"/>
      <c r="H269" s="97"/>
    </row>
    <row r="270" spans="7:8" ht="14.25" customHeight="1">
      <c r="G270" s="97"/>
      <c r="H270" s="97"/>
    </row>
    <row r="271" spans="7:8" ht="14.25" customHeight="1">
      <c r="G271" s="97"/>
      <c r="H271" s="97"/>
    </row>
    <row r="272" spans="7:8" ht="14.25" customHeight="1">
      <c r="G272" s="97"/>
      <c r="H272" s="97"/>
    </row>
    <row r="273" spans="7:8" ht="14.25" customHeight="1">
      <c r="G273" s="97"/>
      <c r="H273" s="97"/>
    </row>
    <row r="274" spans="7:8" ht="14.25" customHeight="1">
      <c r="G274" s="97"/>
      <c r="H274" s="97"/>
    </row>
    <row r="275" spans="7:8" ht="14.25" customHeight="1">
      <c r="G275" s="97"/>
      <c r="H275" s="97"/>
    </row>
    <row r="276" spans="7:8" ht="14.25" customHeight="1">
      <c r="G276" s="97"/>
      <c r="H276" s="97"/>
    </row>
    <row r="277" spans="7:8" ht="14.25" customHeight="1">
      <c r="G277" s="97"/>
      <c r="H277" s="97"/>
    </row>
    <row r="278" spans="7:8" ht="14.25" customHeight="1">
      <c r="G278" s="97"/>
      <c r="H278" s="97"/>
    </row>
    <row r="279" spans="7:8" ht="14.25" customHeight="1">
      <c r="G279" s="97"/>
      <c r="H279" s="97"/>
    </row>
    <row r="280" spans="7:8" ht="14.25" customHeight="1">
      <c r="G280" s="97"/>
      <c r="H280" s="97"/>
    </row>
    <row r="281" spans="7:8" ht="14.25" customHeight="1">
      <c r="G281" s="97"/>
      <c r="H281" s="97"/>
    </row>
    <row r="282" spans="7:8" ht="14.25" customHeight="1">
      <c r="G282" s="97"/>
      <c r="H282" s="97"/>
    </row>
    <row r="283" spans="7:8" ht="14.25" customHeight="1">
      <c r="G283" s="97"/>
      <c r="H283" s="97"/>
    </row>
    <row r="284" spans="7:8" ht="14.25" customHeight="1">
      <c r="G284" s="97"/>
      <c r="H284" s="97"/>
    </row>
    <row r="285" spans="7:8" ht="14.25" customHeight="1">
      <c r="G285" s="97"/>
      <c r="H285" s="97"/>
    </row>
    <row r="286" spans="7:8" ht="14.25" customHeight="1">
      <c r="G286" s="97"/>
      <c r="H286" s="97"/>
    </row>
    <row r="287" spans="7:8" ht="14.25" customHeight="1">
      <c r="G287" s="97"/>
      <c r="H287" s="97"/>
    </row>
    <row r="288" spans="7:8" ht="14.25" customHeight="1">
      <c r="G288" s="97"/>
      <c r="H288" s="97"/>
    </row>
    <row r="289" spans="7:8" ht="14.25" customHeight="1">
      <c r="G289" s="97"/>
      <c r="H289" s="97"/>
    </row>
    <row r="290" spans="7:8" ht="14.25" customHeight="1">
      <c r="G290" s="97"/>
      <c r="H290" s="97"/>
    </row>
    <row r="291" spans="7:8" ht="14.25" customHeight="1">
      <c r="G291" s="97"/>
      <c r="H291" s="97"/>
    </row>
    <row r="292" spans="7:8" ht="14.25" customHeight="1">
      <c r="G292" s="97"/>
      <c r="H292" s="97"/>
    </row>
    <row r="293" spans="7:8" ht="14.25" customHeight="1">
      <c r="G293" s="97"/>
      <c r="H293" s="97"/>
    </row>
    <row r="294" spans="7:8" ht="14.25" customHeight="1">
      <c r="G294" s="97"/>
      <c r="H294" s="97"/>
    </row>
    <row r="295" spans="7:8" ht="14.25" customHeight="1">
      <c r="G295" s="97"/>
      <c r="H295" s="97"/>
    </row>
    <row r="296" spans="7:8" ht="14.25" customHeight="1">
      <c r="G296" s="97"/>
      <c r="H296" s="97"/>
    </row>
    <row r="297" spans="7:8" ht="14.25" customHeight="1">
      <c r="G297" s="97"/>
      <c r="H297" s="97"/>
    </row>
    <row r="298" spans="7:8" ht="14.25" customHeight="1">
      <c r="G298" s="97"/>
      <c r="H298" s="97"/>
    </row>
    <row r="299" spans="7:8" ht="14.25" customHeight="1">
      <c r="G299" s="97"/>
      <c r="H299" s="97"/>
    </row>
    <row r="300" spans="7:8" ht="14.25" customHeight="1">
      <c r="G300" s="97"/>
      <c r="H300" s="97"/>
    </row>
    <row r="301" spans="7:8" ht="14.25" customHeight="1">
      <c r="G301" s="97"/>
      <c r="H301" s="97"/>
    </row>
    <row r="302" spans="7:8" ht="14.25" customHeight="1">
      <c r="G302" s="97"/>
      <c r="H302" s="97"/>
    </row>
    <row r="303" spans="7:8" ht="14.25" customHeight="1">
      <c r="G303" s="97"/>
      <c r="H303" s="97"/>
    </row>
    <row r="304" spans="7:8" ht="14.25" customHeight="1">
      <c r="G304" s="97"/>
      <c r="H304" s="97"/>
    </row>
    <row r="305" spans="7:8" ht="14.25" customHeight="1">
      <c r="G305" s="97"/>
      <c r="H305" s="97"/>
    </row>
    <row r="306" spans="7:8" ht="14.25" customHeight="1">
      <c r="G306" s="97"/>
      <c r="H306" s="97"/>
    </row>
    <row r="307" spans="7:8" ht="14.25" customHeight="1">
      <c r="G307" s="97"/>
      <c r="H307" s="97"/>
    </row>
    <row r="308" spans="7:8" ht="14.25" customHeight="1">
      <c r="G308" s="97"/>
      <c r="H308" s="97"/>
    </row>
    <row r="309" spans="7:8" ht="14.25" customHeight="1">
      <c r="G309" s="97"/>
      <c r="H309" s="97"/>
    </row>
    <row r="310" spans="7:8" ht="14.25" customHeight="1">
      <c r="G310" s="97"/>
      <c r="H310" s="97"/>
    </row>
    <row r="311" spans="7:8" ht="14.25" customHeight="1">
      <c r="G311" s="97"/>
      <c r="H311" s="97"/>
    </row>
    <row r="312" spans="7:8" ht="14.25" customHeight="1">
      <c r="G312" s="97"/>
      <c r="H312" s="97"/>
    </row>
    <row r="313" spans="7:8" ht="14.25" customHeight="1">
      <c r="G313" s="97"/>
      <c r="H313" s="97"/>
    </row>
    <row r="314" spans="7:8" ht="14.25" customHeight="1">
      <c r="G314" s="97"/>
      <c r="H314" s="97"/>
    </row>
    <row r="315" spans="7:8" ht="14.25" customHeight="1">
      <c r="G315" s="97"/>
      <c r="H315" s="97"/>
    </row>
    <row r="316" spans="7:8" ht="14.25" customHeight="1">
      <c r="G316" s="97"/>
      <c r="H316" s="97"/>
    </row>
    <row r="317" spans="7:8" ht="14.25" customHeight="1">
      <c r="G317" s="97"/>
      <c r="H317" s="97"/>
    </row>
    <row r="318" spans="7:8" ht="14.25" customHeight="1">
      <c r="G318" s="97"/>
      <c r="H318" s="97"/>
    </row>
    <row r="319" spans="7:8" ht="14.25" customHeight="1">
      <c r="G319" s="97"/>
      <c r="H319" s="97"/>
    </row>
    <row r="320" spans="7:8" ht="14.25" customHeight="1">
      <c r="G320" s="97"/>
      <c r="H320" s="97"/>
    </row>
    <row r="321" spans="7:8" ht="14.25" customHeight="1">
      <c r="G321" s="97"/>
      <c r="H321" s="97"/>
    </row>
    <row r="322" spans="7:8" ht="14.25" customHeight="1">
      <c r="G322" s="97"/>
      <c r="H322" s="97"/>
    </row>
    <row r="323" spans="7:8" ht="14.25" customHeight="1">
      <c r="G323" s="97"/>
      <c r="H323" s="97"/>
    </row>
    <row r="324" spans="7:8" ht="14.25" customHeight="1">
      <c r="G324" s="97"/>
      <c r="H324" s="97"/>
    </row>
    <row r="325" spans="7:8" ht="14.25" customHeight="1">
      <c r="G325" s="97"/>
      <c r="H325" s="97"/>
    </row>
    <row r="326" spans="7:8" ht="14.25" customHeight="1">
      <c r="G326" s="97"/>
      <c r="H326" s="97"/>
    </row>
    <row r="327" spans="7:8" ht="14.25" customHeight="1">
      <c r="G327" s="97"/>
      <c r="H327" s="97"/>
    </row>
    <row r="328" spans="7:8" ht="14.25" customHeight="1">
      <c r="G328" s="97"/>
      <c r="H328" s="97"/>
    </row>
    <row r="329" spans="7:8" ht="14.25" customHeight="1">
      <c r="G329" s="97"/>
      <c r="H329" s="97"/>
    </row>
    <row r="330" spans="7:8" ht="14.25" customHeight="1">
      <c r="G330" s="97"/>
      <c r="H330" s="97"/>
    </row>
    <row r="331" spans="7:8" ht="14.25" customHeight="1">
      <c r="G331" s="97"/>
      <c r="H331" s="97"/>
    </row>
    <row r="332" spans="7:8" ht="14.25" customHeight="1">
      <c r="G332" s="97"/>
      <c r="H332" s="97"/>
    </row>
    <row r="333" spans="7:8" ht="14.25" customHeight="1">
      <c r="G333" s="97"/>
      <c r="H333" s="97"/>
    </row>
    <row r="334" spans="7:8" ht="14.25" customHeight="1">
      <c r="G334" s="97"/>
      <c r="H334" s="97"/>
    </row>
    <row r="335" spans="7:8" ht="14.25" customHeight="1">
      <c r="G335" s="97"/>
      <c r="H335" s="97"/>
    </row>
    <row r="336" spans="7:8" ht="14.25" customHeight="1">
      <c r="G336" s="97"/>
      <c r="H336" s="97"/>
    </row>
    <row r="337" spans="7:8" ht="14.25" customHeight="1">
      <c r="G337" s="97"/>
      <c r="H337" s="97"/>
    </row>
    <row r="338" spans="7:8" ht="14.25" customHeight="1">
      <c r="G338" s="97"/>
      <c r="H338" s="97"/>
    </row>
    <row r="339" spans="7:8" ht="14.25" customHeight="1">
      <c r="G339" s="97"/>
      <c r="H339" s="97"/>
    </row>
    <row r="340" spans="7:8" ht="14.25" customHeight="1">
      <c r="G340" s="97"/>
      <c r="H340" s="97"/>
    </row>
    <row r="341" spans="7:8" ht="14.25" customHeight="1">
      <c r="G341" s="97"/>
      <c r="H341" s="97"/>
    </row>
    <row r="342" spans="7:8" ht="14.25" customHeight="1">
      <c r="G342" s="97"/>
      <c r="H342" s="97"/>
    </row>
    <row r="343" spans="7:8" ht="14.25" customHeight="1">
      <c r="G343" s="97"/>
      <c r="H343" s="97"/>
    </row>
    <row r="344" spans="7:8" ht="14.25" customHeight="1">
      <c r="G344" s="97"/>
      <c r="H344" s="97"/>
    </row>
    <row r="345" spans="7:8" ht="14.25" customHeight="1">
      <c r="G345" s="97"/>
      <c r="H345" s="97"/>
    </row>
    <row r="346" spans="7:8" ht="14.25" customHeight="1">
      <c r="G346" s="97"/>
      <c r="H346" s="97"/>
    </row>
    <row r="347" spans="7:8" ht="14.25" customHeight="1">
      <c r="G347" s="97"/>
      <c r="H347" s="97"/>
    </row>
    <row r="348" spans="7:8" ht="14.25" customHeight="1">
      <c r="G348" s="97"/>
      <c r="H348" s="97"/>
    </row>
    <row r="349" spans="7:8" ht="14.25" customHeight="1">
      <c r="G349" s="97"/>
      <c r="H349" s="97"/>
    </row>
    <row r="350" spans="7:8" ht="14.25" customHeight="1">
      <c r="G350" s="97"/>
      <c r="H350" s="97"/>
    </row>
    <row r="351" spans="7:8" ht="14.25" customHeight="1">
      <c r="G351" s="97"/>
      <c r="H351" s="97"/>
    </row>
    <row r="352" spans="7:8" ht="14.25" customHeight="1">
      <c r="G352" s="97"/>
      <c r="H352" s="97"/>
    </row>
    <row r="353" spans="7:8" ht="14.25" customHeight="1">
      <c r="G353" s="97"/>
      <c r="H353" s="97"/>
    </row>
    <row r="354" spans="7:8" ht="14.25" customHeight="1">
      <c r="G354" s="97"/>
      <c r="H354" s="97"/>
    </row>
    <row r="355" spans="7:8" ht="14.25" customHeight="1">
      <c r="G355" s="97"/>
      <c r="H355" s="97"/>
    </row>
    <row r="356" spans="7:8" ht="14.25" customHeight="1">
      <c r="G356" s="97"/>
      <c r="H356" s="97"/>
    </row>
    <row r="357" spans="7:8" ht="14.25" customHeight="1">
      <c r="G357" s="97"/>
      <c r="H357" s="97"/>
    </row>
    <row r="358" spans="7:8" ht="14.25" customHeight="1">
      <c r="G358" s="97"/>
      <c r="H358" s="97"/>
    </row>
    <row r="359" spans="7:8" ht="14.25" customHeight="1">
      <c r="G359" s="97"/>
      <c r="H359" s="97"/>
    </row>
    <row r="360" spans="7:8" ht="14.25" customHeight="1">
      <c r="G360" s="97"/>
      <c r="H360" s="97"/>
    </row>
    <row r="361" spans="7:8" ht="14.25" customHeight="1">
      <c r="G361" s="97"/>
      <c r="H361" s="97"/>
    </row>
    <row r="362" spans="7:8" ht="14.25" customHeight="1">
      <c r="G362" s="97"/>
      <c r="H362" s="97"/>
    </row>
    <row r="363" spans="7:8" ht="14.25" customHeight="1">
      <c r="G363" s="97"/>
      <c r="H363" s="97"/>
    </row>
    <row r="364" spans="7:8" ht="14.25" customHeight="1">
      <c r="G364" s="97"/>
      <c r="H364" s="97"/>
    </row>
    <row r="365" spans="7:8" ht="14.25" customHeight="1">
      <c r="G365" s="97"/>
      <c r="H365" s="97"/>
    </row>
    <row r="366" spans="7:8" ht="14.25" customHeight="1">
      <c r="G366" s="97"/>
      <c r="H366" s="97"/>
    </row>
    <row r="367" spans="7:8" ht="14.25" customHeight="1">
      <c r="G367" s="97"/>
      <c r="H367" s="97"/>
    </row>
    <row r="368" spans="7:8" ht="14.25" customHeight="1">
      <c r="G368" s="97"/>
      <c r="H368" s="97"/>
    </row>
    <row r="369" spans="7:8" ht="14.25" customHeight="1">
      <c r="G369" s="97"/>
      <c r="H369" s="97"/>
    </row>
    <row r="370" spans="7:8" ht="14.25" customHeight="1">
      <c r="G370" s="97"/>
      <c r="H370" s="97"/>
    </row>
    <row r="371" spans="7:8" ht="14.25" customHeight="1">
      <c r="G371" s="97"/>
      <c r="H371" s="97"/>
    </row>
    <row r="372" spans="7:8" ht="14.25" customHeight="1">
      <c r="G372" s="97"/>
      <c r="H372" s="97"/>
    </row>
    <row r="373" spans="7:8" ht="14.25" customHeight="1">
      <c r="G373" s="97"/>
      <c r="H373" s="97"/>
    </row>
    <row r="374" spans="7:8" ht="14.25" customHeight="1">
      <c r="G374" s="97"/>
      <c r="H374" s="97"/>
    </row>
    <row r="375" spans="7:8" ht="14.25" customHeight="1">
      <c r="G375" s="97"/>
      <c r="H375" s="97"/>
    </row>
    <row r="376" spans="7:8" ht="14.25" customHeight="1">
      <c r="G376" s="97"/>
      <c r="H376" s="97"/>
    </row>
    <row r="377" spans="7:8" ht="14.25" customHeight="1">
      <c r="G377" s="97"/>
      <c r="H377" s="97"/>
    </row>
    <row r="378" spans="7:8" ht="14.25" customHeight="1">
      <c r="G378" s="97"/>
      <c r="H378" s="97"/>
    </row>
    <row r="379" spans="7:8" ht="14.25" customHeight="1">
      <c r="G379" s="97"/>
      <c r="H379" s="97"/>
    </row>
    <row r="380" spans="7:8" ht="14.25" customHeight="1">
      <c r="G380" s="97"/>
      <c r="H380" s="97"/>
    </row>
    <row r="381" spans="7:8" ht="14.25" customHeight="1">
      <c r="G381" s="97"/>
      <c r="H381" s="97"/>
    </row>
    <row r="382" spans="7:8" ht="14.25" customHeight="1">
      <c r="G382" s="97"/>
      <c r="H382" s="97"/>
    </row>
    <row r="383" spans="7:8" ht="14.25" customHeight="1">
      <c r="G383" s="97"/>
      <c r="H383" s="97"/>
    </row>
    <row r="384" spans="7:8" ht="14.25" customHeight="1">
      <c r="G384" s="97"/>
      <c r="H384" s="97"/>
    </row>
    <row r="385" spans="7:8" ht="14.25" customHeight="1">
      <c r="G385" s="97"/>
      <c r="H385" s="97"/>
    </row>
    <row r="386" spans="7:8" ht="14.25" customHeight="1">
      <c r="G386" s="97"/>
      <c r="H386" s="97"/>
    </row>
    <row r="387" spans="7:8" ht="14.25" customHeight="1">
      <c r="G387" s="97"/>
      <c r="H387" s="97"/>
    </row>
    <row r="388" spans="7:8" ht="14.25" customHeight="1">
      <c r="G388" s="97"/>
      <c r="H388" s="97"/>
    </row>
    <row r="389" spans="7:8" ht="14.25" customHeight="1">
      <c r="G389" s="97"/>
      <c r="H389" s="97"/>
    </row>
    <row r="390" spans="7:8" ht="14.25" customHeight="1">
      <c r="G390" s="97"/>
      <c r="H390" s="97"/>
    </row>
    <row r="391" spans="7:8" ht="14.25" customHeight="1">
      <c r="G391" s="97"/>
      <c r="H391" s="97"/>
    </row>
    <row r="392" spans="7:8" ht="14.25" customHeight="1">
      <c r="G392" s="97"/>
      <c r="H392" s="97"/>
    </row>
    <row r="393" spans="7:8" ht="14.25" customHeight="1">
      <c r="G393" s="97"/>
      <c r="H393" s="97"/>
    </row>
    <row r="394" spans="7:8" ht="14.25" customHeight="1">
      <c r="G394" s="97"/>
      <c r="H394" s="97"/>
    </row>
    <row r="395" spans="7:8" ht="14.25" customHeight="1">
      <c r="G395" s="97"/>
      <c r="H395" s="97"/>
    </row>
    <row r="396" spans="7:8" ht="14.25" customHeight="1">
      <c r="G396" s="97"/>
      <c r="H396" s="97"/>
    </row>
    <row r="397" spans="7:8" ht="14.25" customHeight="1">
      <c r="G397" s="97"/>
      <c r="H397" s="97"/>
    </row>
    <row r="398" spans="7:8" ht="14.25" customHeight="1">
      <c r="G398" s="97"/>
      <c r="H398" s="97"/>
    </row>
    <row r="399" spans="7:8" ht="14.25" customHeight="1">
      <c r="G399" s="97"/>
      <c r="H399" s="97"/>
    </row>
    <row r="400" spans="7:8" ht="14.25" customHeight="1">
      <c r="G400" s="97"/>
      <c r="H400" s="97"/>
    </row>
    <row r="401" spans="7:8" ht="14.25" customHeight="1">
      <c r="G401" s="97"/>
      <c r="H401" s="97"/>
    </row>
    <row r="402" spans="7:8" ht="14.25" customHeight="1">
      <c r="G402" s="97"/>
      <c r="H402" s="97"/>
    </row>
    <row r="403" spans="7:8" ht="14.25" customHeight="1">
      <c r="G403" s="97"/>
      <c r="H403" s="97"/>
    </row>
    <row r="404" spans="7:8" ht="14.25" customHeight="1">
      <c r="G404" s="97"/>
      <c r="H404" s="97"/>
    </row>
    <row r="405" spans="7:8" ht="14.25" customHeight="1">
      <c r="G405" s="97"/>
      <c r="H405" s="97"/>
    </row>
    <row r="406" spans="7:8" ht="14.25" customHeight="1">
      <c r="G406" s="97"/>
      <c r="H406" s="97"/>
    </row>
    <row r="407" spans="7:8" ht="14.25" customHeight="1">
      <c r="G407" s="97"/>
      <c r="H407" s="97"/>
    </row>
    <row r="408" spans="7:8" ht="14.25" customHeight="1">
      <c r="G408" s="97"/>
      <c r="H408" s="97"/>
    </row>
    <row r="409" spans="7:8" ht="14.25" customHeight="1">
      <c r="G409" s="97"/>
      <c r="H409" s="97"/>
    </row>
    <row r="410" spans="7:8" ht="14.25" customHeight="1">
      <c r="G410" s="97"/>
      <c r="H410" s="97"/>
    </row>
    <row r="411" spans="7:8" ht="14.25" customHeight="1">
      <c r="G411" s="97"/>
      <c r="H411" s="97"/>
    </row>
    <row r="412" spans="7:8" ht="14.25" customHeight="1">
      <c r="G412" s="97"/>
      <c r="H412" s="97"/>
    </row>
    <row r="413" spans="7:8" ht="14.25" customHeight="1">
      <c r="G413" s="97"/>
      <c r="H413" s="97"/>
    </row>
    <row r="414" spans="7:8" ht="14.25" customHeight="1">
      <c r="G414" s="97"/>
      <c r="H414" s="97"/>
    </row>
    <row r="415" spans="7:8" ht="14.25" customHeight="1">
      <c r="G415" s="97"/>
      <c r="H415" s="97"/>
    </row>
    <row r="416" spans="7:8" ht="14.25" customHeight="1">
      <c r="G416" s="97"/>
      <c r="H416" s="97"/>
    </row>
    <row r="417" spans="7:8" ht="14.25" customHeight="1">
      <c r="G417" s="97"/>
      <c r="H417" s="97"/>
    </row>
    <row r="418" spans="7:8" ht="14.25" customHeight="1">
      <c r="G418" s="97"/>
      <c r="H418" s="97"/>
    </row>
    <row r="419" spans="7:8" ht="14.25" customHeight="1">
      <c r="G419" s="97"/>
      <c r="H419" s="97"/>
    </row>
    <row r="420" spans="7:8" ht="14.25" customHeight="1">
      <c r="G420" s="97"/>
      <c r="H420" s="97"/>
    </row>
    <row r="421" spans="7:8" ht="14.25" customHeight="1">
      <c r="G421" s="97"/>
      <c r="H421" s="97"/>
    </row>
    <row r="422" spans="7:8" ht="14.25" customHeight="1">
      <c r="G422" s="97"/>
      <c r="H422" s="97"/>
    </row>
    <row r="423" spans="7:8" ht="14.25" customHeight="1">
      <c r="G423" s="97"/>
      <c r="H423" s="97"/>
    </row>
    <row r="424" spans="7:8" ht="14.25" customHeight="1">
      <c r="G424" s="97"/>
      <c r="H424" s="97"/>
    </row>
    <row r="425" spans="7:8" ht="14.25" customHeight="1">
      <c r="G425" s="97"/>
      <c r="H425" s="97"/>
    </row>
    <row r="426" spans="7:8" ht="14.25" customHeight="1">
      <c r="G426" s="97"/>
      <c r="H426" s="97"/>
    </row>
    <row r="427" spans="7:8" ht="14.25" customHeight="1">
      <c r="G427" s="97"/>
      <c r="H427" s="97"/>
    </row>
    <row r="428" spans="7:8" ht="14.25" customHeight="1">
      <c r="G428" s="97"/>
      <c r="H428" s="97"/>
    </row>
    <row r="429" spans="7:8" ht="14.25" customHeight="1">
      <c r="G429" s="97"/>
      <c r="H429" s="97"/>
    </row>
    <row r="430" spans="7:8" ht="14.25" customHeight="1">
      <c r="G430" s="97"/>
      <c r="H430" s="97"/>
    </row>
    <row r="431" spans="7:8" ht="14.25" customHeight="1">
      <c r="G431" s="97"/>
      <c r="H431" s="97"/>
    </row>
    <row r="432" spans="7:8" ht="14.25" customHeight="1">
      <c r="G432" s="97"/>
      <c r="H432" s="97"/>
    </row>
    <row r="433" spans="7:8" ht="14.25" customHeight="1">
      <c r="G433" s="97"/>
      <c r="H433" s="97"/>
    </row>
    <row r="434" spans="7:8" ht="14.25" customHeight="1">
      <c r="G434" s="97"/>
      <c r="H434" s="97"/>
    </row>
    <row r="435" spans="7:8" ht="14.25" customHeight="1">
      <c r="G435" s="97"/>
      <c r="H435" s="97"/>
    </row>
    <row r="436" spans="7:8" ht="14.25" customHeight="1">
      <c r="G436" s="97"/>
      <c r="H436" s="97"/>
    </row>
    <row r="437" spans="7:8" ht="14.25" customHeight="1">
      <c r="G437" s="97"/>
      <c r="H437" s="97"/>
    </row>
    <row r="438" spans="7:8" ht="14.25" customHeight="1">
      <c r="G438" s="97"/>
      <c r="H438" s="97"/>
    </row>
    <row r="439" spans="7:8" ht="14.25" customHeight="1">
      <c r="G439" s="97"/>
      <c r="H439" s="97"/>
    </row>
    <row r="440" spans="7:8" ht="14.25" customHeight="1">
      <c r="G440" s="97"/>
      <c r="H440" s="97"/>
    </row>
    <row r="441" spans="7:8" ht="14.25" customHeight="1">
      <c r="G441" s="97"/>
      <c r="H441" s="97"/>
    </row>
    <row r="442" spans="7:8" ht="14.25" customHeight="1">
      <c r="G442" s="97"/>
      <c r="H442" s="97"/>
    </row>
    <row r="443" spans="7:8" ht="14.25" customHeight="1">
      <c r="G443" s="97"/>
      <c r="H443" s="97"/>
    </row>
    <row r="444" spans="7:8" ht="14.25" customHeight="1">
      <c r="G444" s="97"/>
      <c r="H444" s="97"/>
    </row>
    <row r="445" spans="7:8" ht="14.25" customHeight="1">
      <c r="G445" s="97"/>
      <c r="H445" s="97"/>
    </row>
    <row r="446" spans="7:8" ht="14.25" customHeight="1">
      <c r="G446" s="97"/>
      <c r="H446" s="97"/>
    </row>
    <row r="447" spans="7:8" ht="14.25" customHeight="1">
      <c r="G447" s="97"/>
      <c r="H447" s="97"/>
    </row>
    <row r="448" spans="7:8" ht="14.25" customHeight="1">
      <c r="G448" s="97"/>
      <c r="H448" s="97"/>
    </row>
    <row r="449" spans="7:8" ht="14.25" customHeight="1">
      <c r="G449" s="97"/>
      <c r="H449" s="97"/>
    </row>
    <row r="450" spans="7:8" ht="14.25" customHeight="1">
      <c r="G450" s="97"/>
      <c r="H450" s="97"/>
    </row>
    <row r="451" spans="7:8" ht="14.25" customHeight="1">
      <c r="G451" s="97"/>
      <c r="H451" s="97"/>
    </row>
    <row r="452" spans="7:8" ht="14.25" customHeight="1">
      <c r="G452" s="97"/>
      <c r="H452" s="97"/>
    </row>
    <row r="453" spans="7:8" ht="14.25" customHeight="1">
      <c r="G453" s="97"/>
      <c r="H453" s="97"/>
    </row>
    <row r="454" spans="7:8" ht="14.25" customHeight="1">
      <c r="G454" s="97"/>
      <c r="H454" s="97"/>
    </row>
    <row r="455" spans="7:8" ht="14.25" customHeight="1">
      <c r="G455" s="97"/>
      <c r="H455" s="97"/>
    </row>
    <row r="456" spans="7:8" ht="14.25" customHeight="1">
      <c r="G456" s="97"/>
      <c r="H456" s="97"/>
    </row>
    <row r="457" spans="7:8" ht="14.25" customHeight="1">
      <c r="G457" s="97"/>
      <c r="H457" s="97"/>
    </row>
    <row r="458" spans="7:8" ht="14.25" customHeight="1">
      <c r="G458" s="97"/>
      <c r="H458" s="97"/>
    </row>
    <row r="459" spans="7:8" ht="14.25" customHeight="1">
      <c r="G459" s="97"/>
      <c r="H459" s="97"/>
    </row>
    <row r="460" spans="7:8" ht="14.25" customHeight="1">
      <c r="G460" s="97"/>
      <c r="H460" s="97"/>
    </row>
    <row r="461" spans="7:8" ht="14.25" customHeight="1">
      <c r="G461" s="97"/>
      <c r="H461" s="97"/>
    </row>
    <row r="462" spans="7:8" ht="14.25" customHeight="1">
      <c r="G462" s="97"/>
      <c r="H462" s="97"/>
    </row>
    <row r="463" spans="7:8" ht="14.25" customHeight="1">
      <c r="G463" s="97"/>
      <c r="H463" s="97"/>
    </row>
    <row r="464" spans="7:8" ht="14.25" customHeight="1">
      <c r="G464" s="97"/>
      <c r="H464" s="97"/>
    </row>
    <row r="465" spans="7:8" ht="14.25" customHeight="1">
      <c r="G465" s="97"/>
      <c r="H465" s="97"/>
    </row>
    <row r="466" spans="7:8" ht="14.25" customHeight="1">
      <c r="G466" s="97"/>
      <c r="H466" s="97"/>
    </row>
    <row r="467" spans="7:8" ht="14.25" customHeight="1">
      <c r="G467" s="97"/>
      <c r="H467" s="97"/>
    </row>
    <row r="468" spans="7:8" ht="14.25" customHeight="1">
      <c r="G468" s="97"/>
      <c r="H468" s="97"/>
    </row>
    <row r="469" spans="7:8" ht="14.25" customHeight="1">
      <c r="G469" s="97"/>
      <c r="H469" s="97"/>
    </row>
    <row r="470" spans="7:8" ht="14.25" customHeight="1">
      <c r="G470" s="97"/>
      <c r="H470" s="97"/>
    </row>
    <row r="471" spans="7:8" ht="14.25" customHeight="1">
      <c r="G471" s="97"/>
      <c r="H471" s="97"/>
    </row>
    <row r="472" spans="7:8" ht="14.25" customHeight="1">
      <c r="G472" s="97"/>
      <c r="H472" s="97"/>
    </row>
    <row r="473" spans="7:8" ht="14.25" customHeight="1">
      <c r="G473" s="97"/>
      <c r="H473" s="97"/>
    </row>
    <row r="474" spans="7:8" ht="14.25" customHeight="1">
      <c r="G474" s="97"/>
      <c r="H474" s="97"/>
    </row>
    <row r="475" spans="7:8" ht="14.25" customHeight="1">
      <c r="G475" s="97"/>
      <c r="H475" s="97"/>
    </row>
    <row r="476" spans="7:8" ht="14.25" customHeight="1">
      <c r="G476" s="97"/>
      <c r="H476" s="97"/>
    </row>
    <row r="477" spans="7:8" ht="14.25" customHeight="1">
      <c r="G477" s="97"/>
      <c r="H477" s="97"/>
    </row>
    <row r="478" spans="7:8" ht="14.25" customHeight="1">
      <c r="G478" s="97"/>
      <c r="H478" s="97"/>
    </row>
    <row r="479" spans="7:8" ht="14.25" customHeight="1">
      <c r="G479" s="97"/>
      <c r="H479" s="97"/>
    </row>
    <row r="480" spans="7:8" ht="14.25" customHeight="1">
      <c r="G480" s="97"/>
      <c r="H480" s="97"/>
    </row>
    <row r="481" spans="7:8" ht="14.25" customHeight="1">
      <c r="G481" s="97"/>
      <c r="H481" s="97"/>
    </row>
    <row r="482" spans="7:8" ht="14.25" customHeight="1">
      <c r="G482" s="97"/>
      <c r="H482" s="97"/>
    </row>
    <row r="483" spans="7:8" ht="14.25" customHeight="1">
      <c r="G483" s="97"/>
      <c r="H483" s="97"/>
    </row>
    <row r="484" spans="7:8" ht="14.25" customHeight="1">
      <c r="G484" s="97"/>
      <c r="H484" s="97"/>
    </row>
    <row r="485" spans="7:8" ht="14.25" customHeight="1">
      <c r="G485" s="97"/>
      <c r="H485" s="97"/>
    </row>
    <row r="486" spans="7:8" ht="14.25" customHeight="1">
      <c r="G486" s="97"/>
      <c r="H486" s="97"/>
    </row>
    <row r="487" spans="7:8" ht="14.25" customHeight="1">
      <c r="G487" s="97"/>
      <c r="H487" s="97"/>
    </row>
    <row r="488" spans="7:8" ht="14.25" customHeight="1">
      <c r="G488" s="97"/>
      <c r="H488" s="97"/>
    </row>
    <row r="489" spans="7:8" ht="14.25" customHeight="1">
      <c r="G489" s="97"/>
      <c r="H489" s="97"/>
    </row>
    <row r="490" spans="7:8" ht="14.25" customHeight="1">
      <c r="G490" s="97"/>
      <c r="H490" s="97"/>
    </row>
    <row r="491" spans="7:8" ht="14.25" customHeight="1">
      <c r="G491" s="97"/>
      <c r="H491" s="97"/>
    </row>
    <row r="492" spans="7:8" ht="14.25" customHeight="1">
      <c r="G492" s="97"/>
      <c r="H492" s="97"/>
    </row>
    <row r="493" spans="7:8" ht="14.25" customHeight="1">
      <c r="G493" s="97"/>
      <c r="H493" s="97"/>
    </row>
    <row r="494" spans="7:8" ht="14.25" customHeight="1">
      <c r="G494" s="97"/>
      <c r="H494" s="97"/>
    </row>
    <row r="495" spans="7:8" ht="14.25" customHeight="1">
      <c r="G495" s="97"/>
      <c r="H495" s="97"/>
    </row>
    <row r="496" spans="7:8" ht="14.25" customHeight="1">
      <c r="G496" s="97"/>
      <c r="H496" s="97"/>
    </row>
    <row r="497" spans="7:8" ht="14.25" customHeight="1">
      <c r="G497" s="97"/>
      <c r="H497" s="97"/>
    </row>
    <row r="498" spans="7:8" ht="14.25" customHeight="1">
      <c r="G498" s="97"/>
      <c r="H498" s="97"/>
    </row>
    <row r="499" spans="7:8" ht="14.25" customHeight="1">
      <c r="G499" s="97"/>
      <c r="H499" s="97"/>
    </row>
    <row r="500" spans="7:8" ht="14.25" customHeight="1">
      <c r="G500" s="97"/>
      <c r="H500" s="97"/>
    </row>
    <row r="501" spans="7:8" ht="14.25" customHeight="1">
      <c r="G501" s="97"/>
      <c r="H501" s="97"/>
    </row>
    <row r="502" spans="7:8" ht="14.25" customHeight="1">
      <c r="G502" s="97"/>
      <c r="H502" s="97"/>
    </row>
    <row r="503" spans="7:8" ht="14.25" customHeight="1">
      <c r="G503" s="97"/>
      <c r="H503" s="97"/>
    </row>
    <row r="504" spans="7:8" ht="14.25" customHeight="1">
      <c r="G504" s="97"/>
      <c r="H504" s="97"/>
    </row>
    <row r="505" spans="7:8" ht="14.25" customHeight="1">
      <c r="G505" s="97"/>
      <c r="H505" s="97"/>
    </row>
    <row r="506" spans="7:8" ht="14.25" customHeight="1">
      <c r="G506" s="97"/>
      <c r="H506" s="97"/>
    </row>
    <row r="507" spans="7:8" ht="14.25" customHeight="1">
      <c r="G507" s="97"/>
      <c r="H507" s="97"/>
    </row>
    <row r="508" spans="7:8" ht="14.25" customHeight="1">
      <c r="G508" s="97"/>
      <c r="H508" s="97"/>
    </row>
    <row r="509" spans="7:8" ht="14.25" customHeight="1">
      <c r="G509" s="97"/>
      <c r="H509" s="97"/>
    </row>
    <row r="510" spans="7:8" ht="14.25" customHeight="1">
      <c r="G510" s="97"/>
      <c r="H510" s="97"/>
    </row>
    <row r="511" spans="7:8" ht="14.25" customHeight="1">
      <c r="G511" s="97"/>
      <c r="H511" s="97"/>
    </row>
    <row r="512" spans="7:8" ht="14.25" customHeight="1">
      <c r="G512" s="97"/>
      <c r="H512" s="97"/>
    </row>
    <row r="513" spans="7:8" ht="14.25" customHeight="1">
      <c r="G513" s="97"/>
      <c r="H513" s="97"/>
    </row>
    <row r="514" spans="7:8" ht="14.25" customHeight="1">
      <c r="G514" s="97"/>
      <c r="H514" s="97"/>
    </row>
    <row r="515" spans="7:8" ht="14.25" customHeight="1">
      <c r="G515" s="97"/>
      <c r="H515" s="97"/>
    </row>
    <row r="516" spans="7:8" ht="14.25" customHeight="1">
      <c r="G516" s="97"/>
      <c r="H516" s="97"/>
    </row>
    <row r="517" spans="7:8" ht="14.25" customHeight="1">
      <c r="G517" s="97"/>
      <c r="H517" s="97"/>
    </row>
    <row r="518" spans="7:8" ht="14.25" customHeight="1">
      <c r="G518" s="97"/>
      <c r="H518" s="97"/>
    </row>
    <row r="519" spans="7:8" ht="14.25" customHeight="1">
      <c r="G519" s="97"/>
      <c r="H519" s="97"/>
    </row>
    <row r="520" spans="7:8" ht="14.25" customHeight="1">
      <c r="G520" s="97"/>
      <c r="H520" s="97"/>
    </row>
    <row r="521" spans="7:8" ht="14.25" customHeight="1">
      <c r="G521" s="97"/>
      <c r="H521" s="97"/>
    </row>
    <row r="522" spans="7:8" ht="14.25" customHeight="1">
      <c r="G522" s="97"/>
      <c r="H522" s="97"/>
    </row>
    <row r="523" spans="7:8" ht="14.25" customHeight="1">
      <c r="G523" s="97"/>
      <c r="H523" s="97"/>
    </row>
    <row r="524" spans="7:8" ht="14.25" customHeight="1">
      <c r="G524" s="97"/>
      <c r="H524" s="97"/>
    </row>
    <row r="525" spans="7:8" ht="14.25" customHeight="1">
      <c r="G525" s="97"/>
      <c r="H525" s="97"/>
    </row>
    <row r="526" spans="7:8" ht="14.25" customHeight="1">
      <c r="G526" s="97"/>
      <c r="H526" s="97"/>
    </row>
    <row r="527" spans="7:8" ht="14.25" customHeight="1">
      <c r="G527" s="97"/>
      <c r="H527" s="97"/>
    </row>
    <row r="528" spans="7:8" ht="14.25" customHeight="1">
      <c r="G528" s="97"/>
      <c r="H528" s="97"/>
    </row>
    <row r="529" spans="7:8" ht="14.25" customHeight="1">
      <c r="G529" s="97"/>
      <c r="H529" s="97"/>
    </row>
    <row r="530" spans="7:8" ht="14.25" customHeight="1">
      <c r="G530" s="97"/>
      <c r="H530" s="97"/>
    </row>
    <row r="531" spans="7:8" ht="14.25" customHeight="1">
      <c r="G531" s="97"/>
      <c r="H531" s="97"/>
    </row>
    <row r="532" spans="7:8" ht="14.25" customHeight="1">
      <c r="G532" s="97"/>
      <c r="H532" s="97"/>
    </row>
    <row r="533" spans="7:8" ht="14.25" customHeight="1">
      <c r="G533" s="97"/>
      <c r="H533" s="97"/>
    </row>
    <row r="534" spans="7:8" ht="14.25" customHeight="1">
      <c r="G534" s="97"/>
      <c r="H534" s="97"/>
    </row>
    <row r="535" spans="7:8" ht="14.25" customHeight="1">
      <c r="G535" s="97"/>
      <c r="H535" s="97"/>
    </row>
    <row r="536" spans="7:8" ht="14.25" customHeight="1">
      <c r="G536" s="97"/>
      <c r="H536" s="97"/>
    </row>
    <row r="537" spans="7:8" ht="14.25" customHeight="1">
      <c r="G537" s="97"/>
      <c r="H537" s="97"/>
    </row>
    <row r="538" spans="7:8" ht="14.25" customHeight="1">
      <c r="G538" s="97"/>
      <c r="H538" s="97"/>
    </row>
    <row r="539" spans="7:8" ht="14.25" customHeight="1">
      <c r="G539" s="97"/>
      <c r="H539" s="97"/>
    </row>
    <row r="540" spans="7:8" ht="14.25" customHeight="1">
      <c r="G540" s="97"/>
      <c r="H540" s="97"/>
    </row>
    <row r="541" spans="7:8" ht="14.25" customHeight="1">
      <c r="G541" s="97"/>
      <c r="H541" s="97"/>
    </row>
    <row r="542" spans="7:8" ht="14.25" customHeight="1">
      <c r="G542" s="97"/>
      <c r="H542" s="97"/>
    </row>
    <row r="543" spans="7:8" ht="14.25" customHeight="1">
      <c r="G543" s="97"/>
      <c r="H543" s="97"/>
    </row>
    <row r="544" spans="7:8" ht="14.25" customHeight="1">
      <c r="G544" s="97"/>
      <c r="H544" s="97"/>
    </row>
    <row r="545" spans="7:8" ht="14.25" customHeight="1">
      <c r="G545" s="97"/>
      <c r="H545" s="97"/>
    </row>
    <row r="546" spans="7:8" ht="14.25" customHeight="1">
      <c r="G546" s="97"/>
      <c r="H546" s="97"/>
    </row>
    <row r="547" spans="7:8" ht="14.25" customHeight="1">
      <c r="G547" s="97"/>
      <c r="H547" s="97"/>
    </row>
    <row r="548" spans="7:8" ht="14.25" customHeight="1">
      <c r="G548" s="97"/>
      <c r="H548" s="97"/>
    </row>
    <row r="549" spans="7:8" ht="14.25" customHeight="1">
      <c r="G549" s="97"/>
      <c r="H549" s="97"/>
    </row>
    <row r="550" spans="7:8" ht="14.25" customHeight="1">
      <c r="G550" s="97"/>
      <c r="H550" s="97"/>
    </row>
    <row r="551" spans="7:8" ht="14.25" customHeight="1">
      <c r="G551" s="97"/>
      <c r="H551" s="97"/>
    </row>
    <row r="552" spans="7:8" ht="14.25" customHeight="1">
      <c r="G552" s="97"/>
      <c r="H552" s="97"/>
    </row>
    <row r="553" spans="7:8" ht="14.25" customHeight="1">
      <c r="G553" s="97"/>
      <c r="H553" s="97"/>
    </row>
    <row r="554" spans="7:8" ht="14.25" customHeight="1">
      <c r="G554" s="97"/>
      <c r="H554" s="97"/>
    </row>
    <row r="555" spans="7:8" ht="14.25" customHeight="1">
      <c r="G555" s="97"/>
      <c r="H555" s="97"/>
    </row>
    <row r="556" spans="7:8" ht="14.25" customHeight="1">
      <c r="G556" s="97"/>
      <c r="H556" s="97"/>
    </row>
    <row r="557" spans="7:8" ht="14.25" customHeight="1">
      <c r="G557" s="97"/>
      <c r="H557" s="97"/>
    </row>
    <row r="558" spans="7:8" ht="14.25" customHeight="1">
      <c r="G558" s="97"/>
      <c r="H558" s="97"/>
    </row>
    <row r="559" spans="7:8" ht="14.25" customHeight="1">
      <c r="G559" s="97"/>
      <c r="H559" s="97"/>
    </row>
    <row r="560" spans="7:8" ht="14.25" customHeight="1">
      <c r="G560" s="97"/>
      <c r="H560" s="97"/>
    </row>
    <row r="561" spans="7:8" ht="14.25" customHeight="1">
      <c r="G561" s="97"/>
      <c r="H561" s="97"/>
    </row>
    <row r="562" spans="7:8" ht="14.25" customHeight="1">
      <c r="G562" s="97"/>
      <c r="H562" s="97"/>
    </row>
    <row r="563" spans="7:8" ht="14.25" customHeight="1">
      <c r="G563" s="97"/>
      <c r="H563" s="97"/>
    </row>
    <row r="564" spans="7:8" ht="14.25" customHeight="1">
      <c r="G564" s="97"/>
      <c r="H564" s="97"/>
    </row>
    <row r="565" spans="7:8" ht="14.25" customHeight="1">
      <c r="G565" s="97"/>
      <c r="H565" s="97"/>
    </row>
    <row r="566" spans="7:8" ht="14.25" customHeight="1">
      <c r="G566" s="97"/>
      <c r="H566" s="97"/>
    </row>
    <row r="567" spans="7:8" ht="14.25" customHeight="1">
      <c r="G567" s="97"/>
      <c r="H567" s="97"/>
    </row>
    <row r="568" spans="7:8" ht="14.25" customHeight="1">
      <c r="G568" s="97"/>
      <c r="H568" s="97"/>
    </row>
    <row r="569" spans="7:8" ht="14.25" customHeight="1">
      <c r="G569" s="97"/>
      <c r="H569" s="97"/>
    </row>
    <row r="570" spans="7:8" ht="14.25" customHeight="1">
      <c r="G570" s="97"/>
      <c r="H570" s="97"/>
    </row>
    <row r="571" spans="7:8" ht="14.25" customHeight="1">
      <c r="G571" s="97"/>
      <c r="H571" s="97"/>
    </row>
    <row r="572" spans="7:8" ht="14.25" customHeight="1">
      <c r="G572" s="97"/>
      <c r="H572" s="97"/>
    </row>
    <row r="573" spans="7:8" ht="14.25" customHeight="1">
      <c r="G573" s="97"/>
      <c r="H573" s="97"/>
    </row>
    <row r="574" spans="7:8" ht="14.25" customHeight="1">
      <c r="G574" s="97"/>
      <c r="H574" s="97"/>
    </row>
    <row r="575" spans="7:8" ht="14.25" customHeight="1">
      <c r="G575" s="97"/>
      <c r="H575" s="97"/>
    </row>
    <row r="576" spans="7:8" ht="14.25" customHeight="1">
      <c r="G576" s="97"/>
      <c r="H576" s="97"/>
    </row>
    <row r="577" spans="7:8" ht="14.25" customHeight="1">
      <c r="G577" s="97"/>
      <c r="H577" s="97"/>
    </row>
    <row r="578" spans="7:8" ht="14.25" customHeight="1">
      <c r="G578" s="97"/>
      <c r="H578" s="97"/>
    </row>
    <row r="579" spans="7:8" ht="14.25" customHeight="1">
      <c r="G579" s="97"/>
      <c r="H579" s="97"/>
    </row>
    <row r="580" spans="7:8" ht="14.25" customHeight="1">
      <c r="G580" s="97"/>
      <c r="H580" s="97"/>
    </row>
    <row r="581" spans="7:8" ht="14.25" customHeight="1">
      <c r="G581" s="97"/>
      <c r="H581" s="97"/>
    </row>
    <row r="582" spans="7:8" ht="14.25" customHeight="1">
      <c r="G582" s="97"/>
      <c r="H582" s="97"/>
    </row>
    <row r="583" spans="7:8" ht="14.25" customHeight="1">
      <c r="G583" s="97"/>
      <c r="H583" s="97"/>
    </row>
    <row r="584" spans="7:8" ht="14.25" customHeight="1">
      <c r="G584" s="97"/>
      <c r="H584" s="97"/>
    </row>
    <row r="585" spans="7:8" ht="14.25" customHeight="1">
      <c r="G585" s="97"/>
      <c r="H585" s="97"/>
    </row>
    <row r="586" spans="7:8" ht="14.25" customHeight="1">
      <c r="G586" s="97"/>
      <c r="H586" s="97"/>
    </row>
    <row r="587" spans="7:8" ht="14.25" customHeight="1">
      <c r="G587" s="97"/>
      <c r="H587" s="97"/>
    </row>
    <row r="588" spans="7:8" ht="14.25" customHeight="1">
      <c r="G588" s="97"/>
      <c r="H588" s="97"/>
    </row>
    <row r="589" spans="7:8" ht="14.25" customHeight="1">
      <c r="G589" s="97"/>
      <c r="H589" s="97"/>
    </row>
    <row r="590" spans="7:8" ht="14.25" customHeight="1">
      <c r="G590" s="97"/>
      <c r="H590" s="97"/>
    </row>
    <row r="591" spans="7:8" ht="14.25" customHeight="1">
      <c r="G591" s="97"/>
      <c r="H591" s="97"/>
    </row>
    <row r="592" spans="7:8" ht="14.25" customHeight="1">
      <c r="G592" s="97"/>
      <c r="H592" s="97"/>
    </row>
    <row r="593" spans="7:8" ht="14.25" customHeight="1">
      <c r="G593" s="97"/>
      <c r="H593" s="97"/>
    </row>
    <row r="594" spans="7:8" ht="14.25" customHeight="1">
      <c r="G594" s="97"/>
      <c r="H594" s="97"/>
    </row>
    <row r="595" spans="7:8" ht="14.25" customHeight="1">
      <c r="G595" s="97"/>
      <c r="H595" s="97"/>
    </row>
    <row r="596" spans="7:8" ht="14.25" customHeight="1">
      <c r="G596" s="97"/>
      <c r="H596" s="97"/>
    </row>
    <row r="597" spans="7:8" ht="14.25" customHeight="1">
      <c r="G597" s="97"/>
      <c r="H597" s="97"/>
    </row>
    <row r="598" spans="7:8" ht="14.25" customHeight="1">
      <c r="G598" s="97"/>
      <c r="H598" s="97"/>
    </row>
    <row r="599" spans="7:8" ht="14.25" customHeight="1">
      <c r="G599" s="97"/>
      <c r="H599" s="97"/>
    </row>
    <row r="600" spans="7:8" ht="14.25" customHeight="1">
      <c r="G600" s="97"/>
      <c r="H600" s="97"/>
    </row>
    <row r="601" spans="7:8" ht="14.25" customHeight="1">
      <c r="G601" s="97"/>
      <c r="H601" s="97"/>
    </row>
    <row r="602" spans="7:8" ht="14.25" customHeight="1">
      <c r="G602" s="97"/>
      <c r="H602" s="97"/>
    </row>
    <row r="603" spans="7:8" ht="14.25" customHeight="1">
      <c r="G603" s="97"/>
      <c r="H603" s="97"/>
    </row>
    <row r="604" spans="7:8" ht="14.25" customHeight="1">
      <c r="G604" s="97"/>
      <c r="H604" s="97"/>
    </row>
    <row r="605" spans="7:8" ht="14.25" customHeight="1">
      <c r="G605" s="97"/>
      <c r="H605" s="97"/>
    </row>
    <row r="606" spans="7:8" ht="14.25" customHeight="1">
      <c r="G606" s="97"/>
      <c r="H606" s="97"/>
    </row>
    <row r="607" spans="7:8" ht="14.25" customHeight="1">
      <c r="G607" s="97"/>
      <c r="H607" s="97"/>
    </row>
    <row r="608" spans="7:8" ht="14.25" customHeight="1">
      <c r="G608" s="97"/>
      <c r="H608" s="97"/>
    </row>
    <row r="609" spans="7:8" ht="14.25" customHeight="1">
      <c r="G609" s="97"/>
      <c r="H609" s="97"/>
    </row>
    <row r="610" spans="7:8" ht="14.25" customHeight="1">
      <c r="G610" s="97"/>
      <c r="H610" s="97"/>
    </row>
    <row r="611" spans="7:8" ht="14.25" customHeight="1">
      <c r="G611" s="97"/>
      <c r="H611" s="97"/>
    </row>
    <row r="612" spans="7:8" ht="14.25" customHeight="1">
      <c r="G612" s="97"/>
      <c r="H612" s="97"/>
    </row>
    <row r="613" spans="7:8" ht="14.25" customHeight="1">
      <c r="G613" s="97"/>
      <c r="H613" s="97"/>
    </row>
    <row r="614" spans="7:8" ht="14.25" customHeight="1">
      <c r="G614" s="97"/>
      <c r="H614" s="97"/>
    </row>
    <row r="615" spans="7:8" ht="14.25" customHeight="1">
      <c r="G615" s="97"/>
      <c r="H615" s="97"/>
    </row>
    <row r="616" spans="7:8" ht="14.25" customHeight="1">
      <c r="G616" s="97"/>
      <c r="H616" s="97"/>
    </row>
    <row r="617" spans="7:8" ht="14.25" customHeight="1">
      <c r="G617" s="97"/>
      <c r="H617" s="97"/>
    </row>
    <row r="618" spans="7:8" ht="14.25" customHeight="1">
      <c r="G618" s="97"/>
      <c r="H618" s="97"/>
    </row>
    <row r="619" spans="7:8" ht="14.25" customHeight="1">
      <c r="G619" s="97"/>
      <c r="H619" s="97"/>
    </row>
    <row r="620" spans="7:8" ht="14.25" customHeight="1">
      <c r="G620" s="97"/>
      <c r="H620" s="97"/>
    </row>
    <row r="621" spans="7:8" ht="14.25" customHeight="1">
      <c r="G621" s="97"/>
      <c r="H621" s="97"/>
    </row>
    <row r="622" spans="7:8" ht="14.25" customHeight="1">
      <c r="G622" s="97"/>
      <c r="H622" s="97"/>
    </row>
    <row r="623" spans="7:8" ht="14.25" customHeight="1">
      <c r="G623" s="97"/>
      <c r="H623" s="97"/>
    </row>
    <row r="624" spans="7:8" ht="14.25" customHeight="1">
      <c r="G624" s="97"/>
      <c r="H624" s="97"/>
    </row>
    <row r="625" spans="7:8" ht="14.25" customHeight="1">
      <c r="G625" s="97"/>
      <c r="H625" s="97"/>
    </row>
    <row r="626" spans="7:8" ht="14.25" customHeight="1">
      <c r="G626" s="97"/>
      <c r="H626" s="97"/>
    </row>
    <row r="627" spans="7:8" ht="14.25" customHeight="1">
      <c r="G627" s="97"/>
      <c r="H627" s="97"/>
    </row>
    <row r="628" spans="7:8" ht="14.25" customHeight="1">
      <c r="G628" s="97"/>
      <c r="H628" s="97"/>
    </row>
    <row r="629" spans="7:8" ht="14.25" customHeight="1">
      <c r="G629" s="97"/>
      <c r="H629" s="97"/>
    </row>
    <row r="630" spans="7:8" ht="14.25" customHeight="1">
      <c r="G630" s="97"/>
      <c r="H630" s="97"/>
    </row>
    <row r="631" spans="7:8" ht="14.25" customHeight="1">
      <c r="G631" s="97"/>
      <c r="H631" s="97"/>
    </row>
    <row r="632" spans="7:8" ht="14.25" customHeight="1">
      <c r="G632" s="97"/>
      <c r="H632" s="97"/>
    </row>
    <row r="633" spans="7:8" ht="14.25" customHeight="1">
      <c r="G633" s="97"/>
      <c r="H633" s="97"/>
    </row>
    <row r="634" spans="7:8" ht="14.25" customHeight="1">
      <c r="G634" s="97"/>
      <c r="H634" s="97"/>
    </row>
    <row r="635" spans="7:8" ht="14.25" customHeight="1">
      <c r="G635" s="97"/>
      <c r="H635" s="97"/>
    </row>
    <row r="636" spans="7:8" ht="14.25" customHeight="1">
      <c r="G636" s="97"/>
      <c r="H636" s="97"/>
    </row>
    <row r="637" spans="7:8" ht="14.25" customHeight="1">
      <c r="G637" s="97"/>
      <c r="H637" s="97"/>
    </row>
    <row r="638" spans="7:8" ht="14.25" customHeight="1">
      <c r="G638" s="97"/>
      <c r="H638" s="97"/>
    </row>
    <row r="639" spans="7:8" ht="14.25" customHeight="1">
      <c r="G639" s="97"/>
      <c r="H639" s="97"/>
    </row>
    <row r="640" spans="7:8" ht="14.25" customHeight="1">
      <c r="G640" s="97"/>
      <c r="H640" s="97"/>
    </row>
    <row r="641" spans="7:8" ht="14.25" customHeight="1">
      <c r="G641" s="97"/>
      <c r="H641" s="97"/>
    </row>
    <row r="642" spans="7:8" ht="14.25" customHeight="1">
      <c r="G642" s="97"/>
      <c r="H642" s="97"/>
    </row>
    <row r="643" spans="7:8" ht="14.25" customHeight="1">
      <c r="G643" s="97"/>
      <c r="H643" s="97"/>
    </row>
    <row r="644" spans="7:8" ht="14.25" customHeight="1">
      <c r="G644" s="97"/>
      <c r="H644" s="97"/>
    </row>
    <row r="645" spans="7:8" ht="14.25" customHeight="1">
      <c r="G645" s="97"/>
      <c r="H645" s="97"/>
    </row>
    <row r="646" spans="7:8" ht="14.25" customHeight="1">
      <c r="G646" s="97"/>
      <c r="H646" s="97"/>
    </row>
    <row r="647" spans="7:8" ht="14.25" customHeight="1">
      <c r="G647" s="97"/>
      <c r="H647" s="97"/>
    </row>
    <row r="648" spans="7:8" ht="14.25" customHeight="1">
      <c r="G648" s="97"/>
      <c r="H648" s="97"/>
    </row>
    <row r="649" spans="7:8" ht="14.25" customHeight="1">
      <c r="G649" s="97"/>
      <c r="H649" s="97"/>
    </row>
    <row r="650" spans="7:8" ht="14.25" customHeight="1">
      <c r="G650" s="97"/>
      <c r="H650" s="97"/>
    </row>
    <row r="651" spans="7:8" ht="14.25" customHeight="1">
      <c r="G651" s="97"/>
      <c r="H651" s="97"/>
    </row>
    <row r="652" spans="7:8" ht="14.25" customHeight="1">
      <c r="G652" s="97"/>
      <c r="H652" s="97"/>
    </row>
    <row r="653" spans="7:8" ht="14.25" customHeight="1">
      <c r="G653" s="97"/>
      <c r="H653" s="97"/>
    </row>
    <row r="654" spans="7:8" ht="14.25" customHeight="1">
      <c r="G654" s="97"/>
      <c r="H654" s="97"/>
    </row>
    <row r="655" spans="7:8" ht="14.25" customHeight="1">
      <c r="G655" s="97"/>
      <c r="H655" s="97"/>
    </row>
    <row r="656" spans="7:8" ht="14.25" customHeight="1">
      <c r="G656" s="97"/>
      <c r="H656" s="97"/>
    </row>
    <row r="657" spans="7:8" ht="14.25" customHeight="1">
      <c r="G657" s="97"/>
      <c r="H657" s="97"/>
    </row>
    <row r="658" spans="7:8" ht="14.25" customHeight="1">
      <c r="G658" s="97"/>
      <c r="H658" s="97"/>
    </row>
    <row r="659" spans="7:8" ht="14.25" customHeight="1">
      <c r="G659" s="97"/>
      <c r="H659" s="97"/>
    </row>
    <row r="660" spans="7:8" ht="14.25" customHeight="1">
      <c r="G660" s="97"/>
      <c r="H660" s="97"/>
    </row>
    <row r="661" spans="7:8" ht="14.25" customHeight="1">
      <c r="G661" s="97"/>
      <c r="H661" s="97"/>
    </row>
    <row r="662" spans="7:8" ht="14.25" customHeight="1">
      <c r="G662" s="97"/>
      <c r="H662" s="97"/>
    </row>
    <row r="663" spans="7:8" ht="14.25" customHeight="1">
      <c r="G663" s="97"/>
      <c r="H663" s="97"/>
    </row>
    <row r="664" spans="7:8" ht="14.25" customHeight="1">
      <c r="G664" s="97"/>
      <c r="H664" s="97"/>
    </row>
    <row r="665" spans="7:8" ht="14.25" customHeight="1">
      <c r="G665" s="97"/>
      <c r="H665" s="97"/>
    </row>
    <row r="666" spans="7:8" ht="14.25" customHeight="1">
      <c r="G666" s="97"/>
      <c r="H666" s="97"/>
    </row>
    <row r="667" spans="7:8" ht="14.25" customHeight="1">
      <c r="G667" s="97"/>
      <c r="H667" s="97"/>
    </row>
    <row r="668" spans="7:8" ht="14.25" customHeight="1">
      <c r="G668" s="97"/>
      <c r="H668" s="97"/>
    </row>
    <row r="669" spans="7:8" ht="14.25" customHeight="1">
      <c r="G669" s="97"/>
      <c r="H669" s="97"/>
    </row>
    <row r="670" spans="7:8" ht="14.25" customHeight="1">
      <c r="G670" s="97"/>
      <c r="H670" s="97"/>
    </row>
    <row r="671" spans="7:8" ht="14.25" customHeight="1">
      <c r="G671" s="97"/>
      <c r="H671" s="97"/>
    </row>
    <row r="672" spans="7:8" ht="14.25" customHeight="1">
      <c r="G672" s="97"/>
      <c r="H672" s="97"/>
    </row>
    <row r="673" spans="7:8" ht="14.25" customHeight="1">
      <c r="G673" s="97"/>
      <c r="H673" s="97"/>
    </row>
    <row r="674" spans="7:8" ht="14.25" customHeight="1">
      <c r="G674" s="97"/>
      <c r="H674" s="97"/>
    </row>
    <row r="675" spans="7:8" ht="14.25" customHeight="1">
      <c r="G675" s="97"/>
      <c r="H675" s="97"/>
    </row>
    <row r="676" spans="7:8" ht="14.25" customHeight="1">
      <c r="G676" s="97"/>
      <c r="H676" s="97"/>
    </row>
    <row r="677" spans="7:8" ht="14.25" customHeight="1">
      <c r="G677" s="97"/>
      <c r="H677" s="97"/>
    </row>
    <row r="678" spans="7:8" ht="14.25" customHeight="1">
      <c r="G678" s="97"/>
      <c r="H678" s="97"/>
    </row>
    <row r="679" spans="7:8" ht="14.25" customHeight="1">
      <c r="G679" s="97"/>
      <c r="H679" s="97"/>
    </row>
    <row r="680" spans="7:8" ht="14.25" customHeight="1">
      <c r="G680" s="97"/>
      <c r="H680" s="97"/>
    </row>
    <row r="681" spans="7:8" ht="14.25" customHeight="1">
      <c r="G681" s="97"/>
      <c r="H681" s="97"/>
    </row>
    <row r="682" spans="7:8" ht="14.25" customHeight="1">
      <c r="G682" s="97"/>
      <c r="H682" s="97"/>
    </row>
    <row r="683" spans="7:8" ht="14.25" customHeight="1">
      <c r="G683" s="97"/>
      <c r="H683" s="97"/>
    </row>
    <row r="684" spans="7:8" ht="14.25" customHeight="1">
      <c r="G684" s="97"/>
      <c r="H684" s="97"/>
    </row>
    <row r="685" spans="7:8" ht="14.25" customHeight="1">
      <c r="G685" s="97"/>
      <c r="H685" s="97"/>
    </row>
    <row r="686" spans="7:8" ht="14.25" customHeight="1">
      <c r="G686" s="97"/>
      <c r="H686" s="97"/>
    </row>
    <row r="687" spans="7:8" ht="14.25" customHeight="1">
      <c r="G687" s="97"/>
      <c r="H687" s="97"/>
    </row>
    <row r="688" spans="7:8" ht="14.25" customHeight="1">
      <c r="G688" s="97"/>
      <c r="H688" s="97"/>
    </row>
    <row r="689" spans="7:8" ht="14.25" customHeight="1">
      <c r="G689" s="97"/>
      <c r="H689" s="97"/>
    </row>
    <row r="690" spans="7:8" ht="14.25" customHeight="1">
      <c r="G690" s="97"/>
      <c r="H690" s="97"/>
    </row>
    <row r="691" spans="7:8" ht="14.25" customHeight="1">
      <c r="G691" s="97"/>
      <c r="H691" s="97"/>
    </row>
    <row r="692" spans="7:8" ht="14.25" customHeight="1">
      <c r="G692" s="97"/>
      <c r="H692" s="97"/>
    </row>
    <row r="693" spans="7:8" ht="14.25" customHeight="1">
      <c r="G693" s="97"/>
      <c r="H693" s="97"/>
    </row>
    <row r="694" spans="7:8" ht="14.25" customHeight="1">
      <c r="G694" s="97"/>
      <c r="H694" s="97"/>
    </row>
    <row r="695" spans="7:8" ht="14.25" customHeight="1">
      <c r="G695" s="97"/>
      <c r="H695" s="97"/>
    </row>
    <row r="696" spans="7:8" ht="14.25" customHeight="1">
      <c r="G696" s="97"/>
      <c r="H696" s="97"/>
    </row>
    <row r="697" spans="7:8" ht="14.25" customHeight="1">
      <c r="G697" s="97"/>
      <c r="H697" s="97"/>
    </row>
    <row r="698" spans="7:8" ht="14.25" customHeight="1">
      <c r="G698" s="97"/>
      <c r="H698" s="97"/>
    </row>
    <row r="699" spans="7:8" ht="14.25" customHeight="1">
      <c r="G699" s="97"/>
      <c r="H699" s="97"/>
    </row>
    <row r="700" spans="7:8" ht="14.25" customHeight="1">
      <c r="G700" s="97"/>
      <c r="H700" s="97"/>
    </row>
    <row r="701" spans="7:8" ht="14.25" customHeight="1">
      <c r="G701" s="97"/>
      <c r="H701" s="97"/>
    </row>
    <row r="702" spans="7:8" ht="14.25" customHeight="1">
      <c r="G702" s="97"/>
      <c r="H702" s="97"/>
    </row>
    <row r="703" spans="7:8" ht="14.25" customHeight="1">
      <c r="G703" s="97"/>
      <c r="H703" s="97"/>
    </row>
    <row r="704" spans="7:8" ht="14.25" customHeight="1">
      <c r="G704" s="97"/>
      <c r="H704" s="97"/>
    </row>
    <row r="705" spans="7:8" ht="14.25" customHeight="1">
      <c r="G705" s="97"/>
      <c r="H705" s="97"/>
    </row>
    <row r="706" spans="7:8" ht="14.25" customHeight="1">
      <c r="G706" s="97"/>
      <c r="H706" s="97"/>
    </row>
    <row r="707" spans="7:8" ht="14.25" customHeight="1">
      <c r="G707" s="97"/>
      <c r="H707" s="97"/>
    </row>
    <row r="708" spans="7:8" ht="14.25" customHeight="1">
      <c r="G708" s="97"/>
      <c r="H708" s="97"/>
    </row>
    <row r="709" spans="7:8" ht="14.25" customHeight="1">
      <c r="G709" s="97"/>
      <c r="H709" s="97"/>
    </row>
    <row r="710" spans="7:8" ht="14.25" customHeight="1">
      <c r="G710" s="97"/>
      <c r="H710" s="97"/>
    </row>
    <row r="711" spans="7:8" ht="14.25" customHeight="1">
      <c r="G711" s="97"/>
      <c r="H711" s="97"/>
    </row>
    <row r="712" spans="7:8" ht="14.25" customHeight="1">
      <c r="G712" s="97"/>
      <c r="H712" s="97"/>
    </row>
    <row r="713" spans="7:8" ht="14.25" customHeight="1">
      <c r="G713" s="97"/>
      <c r="H713" s="97"/>
    </row>
    <row r="714" spans="7:8" ht="14.25" customHeight="1">
      <c r="G714" s="97"/>
      <c r="H714" s="97"/>
    </row>
    <row r="715" spans="7:8" ht="14.25" customHeight="1">
      <c r="G715" s="97"/>
      <c r="H715" s="97"/>
    </row>
    <row r="716" spans="7:8" ht="14.25" customHeight="1">
      <c r="G716" s="97"/>
      <c r="H716" s="97"/>
    </row>
    <row r="717" spans="7:8" ht="14.25" customHeight="1">
      <c r="G717" s="97"/>
      <c r="H717" s="97"/>
    </row>
    <row r="718" spans="7:8" ht="14.25" customHeight="1">
      <c r="G718" s="97"/>
      <c r="H718" s="97"/>
    </row>
    <row r="719" spans="7:8" ht="14.25" customHeight="1">
      <c r="G719" s="97"/>
      <c r="H719" s="97"/>
    </row>
    <row r="720" spans="7:8" ht="14.25" customHeight="1">
      <c r="G720" s="97"/>
      <c r="H720" s="97"/>
    </row>
    <row r="721" spans="7:8" ht="14.25" customHeight="1">
      <c r="G721" s="97"/>
      <c r="H721" s="97"/>
    </row>
    <row r="722" spans="7:8" ht="14.25" customHeight="1">
      <c r="G722" s="97"/>
      <c r="H722" s="97"/>
    </row>
    <row r="723" spans="7:8" ht="14.25" customHeight="1">
      <c r="G723" s="97"/>
      <c r="H723" s="97"/>
    </row>
    <row r="724" spans="7:8" ht="14.25" customHeight="1">
      <c r="G724" s="97"/>
      <c r="H724" s="97"/>
    </row>
    <row r="725" spans="7:8" ht="14.25" customHeight="1">
      <c r="G725" s="97"/>
      <c r="H725" s="97"/>
    </row>
    <row r="726" spans="7:8" ht="14.25" customHeight="1">
      <c r="G726" s="97"/>
      <c r="H726" s="97"/>
    </row>
    <row r="727" spans="7:8" ht="14.25" customHeight="1">
      <c r="G727" s="97"/>
      <c r="H727" s="97"/>
    </row>
    <row r="728" spans="7:8" ht="14.25" customHeight="1">
      <c r="G728" s="97"/>
      <c r="H728" s="97"/>
    </row>
    <row r="729" spans="7:8" ht="14.25" customHeight="1">
      <c r="G729" s="97"/>
      <c r="H729" s="97"/>
    </row>
    <row r="730" spans="7:8" ht="14.25" customHeight="1">
      <c r="G730" s="97"/>
      <c r="H730" s="97"/>
    </row>
    <row r="731" spans="7:8" ht="14.25" customHeight="1">
      <c r="G731" s="97"/>
      <c r="H731" s="97"/>
    </row>
    <row r="732" spans="7:8" ht="14.25" customHeight="1">
      <c r="G732" s="97"/>
      <c r="H732" s="97"/>
    </row>
    <row r="733" spans="7:8" ht="14.25" customHeight="1">
      <c r="G733" s="97"/>
      <c r="H733" s="97"/>
    </row>
    <row r="734" spans="7:8" ht="14.25" customHeight="1">
      <c r="G734" s="97"/>
      <c r="H734" s="97"/>
    </row>
    <row r="735" spans="7:8" ht="14.25" customHeight="1">
      <c r="G735" s="97"/>
      <c r="H735" s="97"/>
    </row>
    <row r="736" spans="7:8" ht="14.25" customHeight="1">
      <c r="G736" s="97"/>
      <c r="H736" s="97"/>
    </row>
    <row r="737" spans="7:8" ht="14.25" customHeight="1">
      <c r="G737" s="97"/>
      <c r="H737" s="97"/>
    </row>
    <row r="738" spans="7:8" ht="14.25" customHeight="1">
      <c r="G738" s="97"/>
      <c r="H738" s="97"/>
    </row>
    <row r="739" spans="7:8" ht="14.25" customHeight="1">
      <c r="G739" s="97"/>
      <c r="H739" s="97"/>
    </row>
    <row r="740" spans="7:8" ht="14.25" customHeight="1">
      <c r="G740" s="97"/>
      <c r="H740" s="97"/>
    </row>
    <row r="741" spans="7:8" ht="14.25" customHeight="1">
      <c r="G741" s="97"/>
      <c r="H741" s="97"/>
    </row>
    <row r="742" spans="7:8" ht="14.25" customHeight="1">
      <c r="G742" s="97"/>
      <c r="H742" s="97"/>
    </row>
    <row r="743" spans="7:8" ht="14.25" customHeight="1">
      <c r="G743" s="97"/>
      <c r="H743" s="97"/>
    </row>
    <row r="744" spans="7:8" ht="14.25" customHeight="1">
      <c r="G744" s="97"/>
      <c r="H744" s="97"/>
    </row>
    <row r="745" spans="7:8" ht="14.25" customHeight="1">
      <c r="G745" s="97"/>
      <c r="H745" s="97"/>
    </row>
    <row r="746" spans="7:8" ht="14.25" customHeight="1">
      <c r="G746" s="97"/>
      <c r="H746" s="97"/>
    </row>
    <row r="747" spans="7:8" ht="14.25" customHeight="1">
      <c r="G747" s="97"/>
      <c r="H747" s="97"/>
    </row>
    <row r="748" spans="7:8" ht="14.25" customHeight="1">
      <c r="G748" s="97"/>
      <c r="H748" s="97"/>
    </row>
    <row r="749" spans="7:8" ht="14.25" customHeight="1">
      <c r="G749" s="97"/>
      <c r="H749" s="97"/>
    </row>
    <row r="750" spans="7:8" ht="14.25" customHeight="1">
      <c r="G750" s="97"/>
      <c r="H750" s="97"/>
    </row>
    <row r="751" spans="7:8" ht="14.25" customHeight="1">
      <c r="G751" s="97"/>
      <c r="H751" s="97"/>
    </row>
    <row r="752" spans="7:8" ht="14.25" customHeight="1">
      <c r="G752" s="97"/>
      <c r="H752" s="97"/>
    </row>
    <row r="753" spans="7:8" ht="14.25" customHeight="1">
      <c r="G753" s="97"/>
      <c r="H753" s="97"/>
    </row>
    <row r="754" spans="7:8" ht="14.25" customHeight="1">
      <c r="G754" s="97"/>
      <c r="H754" s="97"/>
    </row>
    <row r="755" spans="7:8" ht="14.25" customHeight="1">
      <c r="G755" s="97"/>
      <c r="H755" s="97"/>
    </row>
    <row r="756" spans="7:8" ht="14.25" customHeight="1">
      <c r="G756" s="97"/>
      <c r="H756" s="97"/>
    </row>
    <row r="757" spans="7:8" ht="14.25" customHeight="1">
      <c r="G757" s="97"/>
      <c r="H757" s="97"/>
    </row>
    <row r="758" spans="7:8" ht="14.25" customHeight="1">
      <c r="G758" s="97"/>
      <c r="H758" s="97"/>
    </row>
    <row r="759" spans="7:8" ht="14.25" customHeight="1">
      <c r="G759" s="97"/>
      <c r="H759" s="97"/>
    </row>
    <row r="760" spans="7:8" ht="14.25" customHeight="1">
      <c r="G760" s="97"/>
      <c r="H760" s="97"/>
    </row>
    <row r="761" spans="7:8" ht="14.25" customHeight="1">
      <c r="G761" s="97"/>
      <c r="H761" s="97"/>
    </row>
    <row r="762" spans="7:8" ht="14.25" customHeight="1">
      <c r="G762" s="97"/>
      <c r="H762" s="97"/>
    </row>
    <row r="763" spans="7:8" ht="14.25" customHeight="1">
      <c r="G763" s="97"/>
      <c r="H763" s="97"/>
    </row>
    <row r="764" spans="7:8" ht="14.25" customHeight="1">
      <c r="G764" s="97"/>
      <c r="H764" s="97"/>
    </row>
    <row r="765" spans="7:8" ht="14.25" customHeight="1">
      <c r="G765" s="97"/>
      <c r="H765" s="97"/>
    </row>
    <row r="766" spans="7:8" ht="14.25" customHeight="1">
      <c r="G766" s="97"/>
      <c r="H766" s="97"/>
    </row>
    <row r="767" spans="7:8" ht="14.25" customHeight="1">
      <c r="G767" s="97"/>
      <c r="H767" s="97"/>
    </row>
    <row r="768" spans="7:8" ht="14.25" customHeight="1">
      <c r="G768" s="97"/>
      <c r="H768" s="97"/>
    </row>
    <row r="769" spans="7:8" ht="14.25" customHeight="1">
      <c r="G769" s="97"/>
      <c r="H769" s="97"/>
    </row>
    <row r="770" spans="7:8" ht="14.25" customHeight="1">
      <c r="G770" s="97"/>
      <c r="H770" s="97"/>
    </row>
    <row r="771" spans="7:8" ht="14.25" customHeight="1">
      <c r="G771" s="97"/>
      <c r="H771" s="97"/>
    </row>
    <row r="772" spans="7:8" ht="14.25" customHeight="1">
      <c r="G772" s="97"/>
      <c r="H772" s="97"/>
    </row>
    <row r="773" spans="7:8" ht="14.25" customHeight="1">
      <c r="G773" s="97"/>
      <c r="H773" s="97"/>
    </row>
    <row r="774" spans="7:8" ht="14.25" customHeight="1">
      <c r="G774" s="97"/>
      <c r="H774" s="97"/>
    </row>
    <row r="775" spans="7:8" ht="14.25" customHeight="1">
      <c r="G775" s="97"/>
      <c r="H775" s="97"/>
    </row>
    <row r="776" spans="7:8" ht="14.25" customHeight="1">
      <c r="G776" s="97"/>
      <c r="H776" s="97"/>
    </row>
    <row r="777" spans="7:8" ht="14.25" customHeight="1">
      <c r="G777" s="97"/>
      <c r="H777" s="97"/>
    </row>
    <row r="778" spans="7:8" ht="14.25" customHeight="1">
      <c r="G778" s="97"/>
      <c r="H778" s="97"/>
    </row>
    <row r="779" spans="7:8" ht="14.25" customHeight="1">
      <c r="G779" s="97"/>
      <c r="H779" s="97"/>
    </row>
    <row r="780" spans="7:8" ht="14.25" customHeight="1">
      <c r="G780" s="97"/>
      <c r="H780" s="97"/>
    </row>
    <row r="781" spans="7:8" ht="14.25" customHeight="1">
      <c r="G781" s="97"/>
      <c r="H781" s="97"/>
    </row>
    <row r="782" spans="7:8" ht="14.25" customHeight="1">
      <c r="G782" s="97"/>
      <c r="H782" s="97"/>
    </row>
    <row r="783" spans="7:8" ht="14.25" customHeight="1">
      <c r="G783" s="97"/>
      <c r="H783" s="97"/>
    </row>
    <row r="784" spans="7:8" ht="14.25" customHeight="1">
      <c r="G784" s="97"/>
      <c r="H784" s="97"/>
    </row>
    <row r="785" spans="7:8" ht="14.25" customHeight="1">
      <c r="G785" s="97"/>
      <c r="H785" s="97"/>
    </row>
    <row r="786" spans="7:8" ht="14.25" customHeight="1">
      <c r="G786" s="97"/>
      <c r="H786" s="97"/>
    </row>
    <row r="787" spans="7:8" ht="14.25" customHeight="1">
      <c r="G787" s="97"/>
      <c r="H787" s="97"/>
    </row>
    <row r="788" spans="7:8" ht="14.25" customHeight="1">
      <c r="G788" s="97"/>
      <c r="H788" s="97"/>
    </row>
    <row r="789" spans="7:8" ht="14.25" customHeight="1">
      <c r="G789" s="97"/>
      <c r="H789" s="97"/>
    </row>
    <row r="790" spans="7:8" ht="14.25" customHeight="1">
      <c r="G790" s="97"/>
      <c r="H790" s="97"/>
    </row>
    <row r="791" spans="7:8" ht="14.25" customHeight="1">
      <c r="G791" s="97"/>
      <c r="H791" s="97"/>
    </row>
    <row r="792" spans="7:8" ht="14.25" customHeight="1">
      <c r="G792" s="97"/>
      <c r="H792" s="97"/>
    </row>
    <row r="793" spans="7:8" ht="14.25" customHeight="1">
      <c r="G793" s="97"/>
      <c r="H793" s="97"/>
    </row>
    <row r="794" spans="7:8" ht="14.25" customHeight="1">
      <c r="G794" s="97"/>
      <c r="H794" s="97"/>
    </row>
    <row r="795" spans="7:8" ht="14.25" customHeight="1">
      <c r="G795" s="97"/>
      <c r="H795" s="97"/>
    </row>
    <row r="796" spans="7:8" ht="14.25" customHeight="1">
      <c r="G796" s="97"/>
      <c r="H796" s="97"/>
    </row>
    <row r="797" spans="7:8" ht="14.25" customHeight="1">
      <c r="G797" s="97"/>
      <c r="H797" s="97"/>
    </row>
    <row r="798" spans="7:8" ht="14.25" customHeight="1">
      <c r="G798" s="97"/>
      <c r="H798" s="97"/>
    </row>
    <row r="799" spans="7:8" ht="14.25" customHeight="1">
      <c r="G799" s="97"/>
      <c r="H799" s="97"/>
    </row>
    <row r="800" spans="7:8" ht="14.25" customHeight="1">
      <c r="G800" s="97"/>
      <c r="H800" s="97"/>
    </row>
    <row r="801" spans="7:8" ht="14.25" customHeight="1">
      <c r="G801" s="97"/>
      <c r="H801" s="97"/>
    </row>
    <row r="802" spans="7:8" ht="14.25" customHeight="1">
      <c r="G802" s="97"/>
      <c r="H802" s="97"/>
    </row>
    <row r="803" spans="7:8" ht="14.25" customHeight="1">
      <c r="G803" s="97"/>
      <c r="H803" s="97"/>
    </row>
    <row r="804" spans="7:8" ht="14.25" customHeight="1">
      <c r="G804" s="97"/>
      <c r="H804" s="97"/>
    </row>
    <row r="805" spans="7:8" ht="14.25" customHeight="1">
      <c r="G805" s="97"/>
      <c r="H805" s="97"/>
    </row>
    <row r="806" spans="7:8" ht="14.25" customHeight="1">
      <c r="G806" s="97"/>
      <c r="H806" s="97"/>
    </row>
    <row r="807" spans="7:8" ht="14.25" customHeight="1">
      <c r="G807" s="97"/>
      <c r="H807" s="97"/>
    </row>
    <row r="808" spans="7:8" ht="14.25" customHeight="1">
      <c r="G808" s="97"/>
      <c r="H808" s="97"/>
    </row>
    <row r="809" spans="7:8" ht="14.25" customHeight="1">
      <c r="G809" s="97"/>
      <c r="H809" s="97"/>
    </row>
    <row r="810" spans="7:8" ht="14.25" customHeight="1">
      <c r="G810" s="97"/>
      <c r="H810" s="97"/>
    </row>
    <row r="811" spans="7:8" ht="14.25" customHeight="1">
      <c r="G811" s="97"/>
      <c r="H811" s="97"/>
    </row>
    <row r="812" spans="7:8" ht="14.25" customHeight="1">
      <c r="G812" s="97"/>
      <c r="H812" s="97"/>
    </row>
    <row r="813" spans="7:8" ht="14.25" customHeight="1">
      <c r="G813" s="97"/>
      <c r="H813" s="97"/>
    </row>
    <row r="814" spans="7:8" ht="14.25" customHeight="1">
      <c r="G814" s="97"/>
      <c r="H814" s="97"/>
    </row>
    <row r="815" spans="7:8" ht="14.25" customHeight="1">
      <c r="G815" s="97"/>
      <c r="H815" s="97"/>
    </row>
    <row r="816" spans="7:8" ht="14.25" customHeight="1">
      <c r="G816" s="97"/>
      <c r="H816" s="97"/>
    </row>
    <row r="817" spans="7:8" ht="14.25" customHeight="1">
      <c r="G817" s="97"/>
      <c r="H817" s="97"/>
    </row>
    <row r="818" spans="7:8" ht="14.25" customHeight="1">
      <c r="G818" s="97"/>
      <c r="H818" s="97"/>
    </row>
    <row r="819" spans="7:8" ht="14.25" customHeight="1">
      <c r="G819" s="97"/>
      <c r="H819" s="97"/>
    </row>
    <row r="820" spans="7:8" ht="14.25" customHeight="1">
      <c r="G820" s="97"/>
      <c r="H820" s="97"/>
    </row>
    <row r="821" spans="7:8" ht="14.25" customHeight="1">
      <c r="G821" s="97"/>
      <c r="H821" s="97"/>
    </row>
    <row r="822" spans="7:8" ht="14.25" customHeight="1">
      <c r="G822" s="97"/>
      <c r="H822" s="97"/>
    </row>
    <row r="823" spans="7:8" ht="14.25" customHeight="1">
      <c r="G823" s="97"/>
      <c r="H823" s="97"/>
    </row>
    <row r="824" spans="7:8" ht="14.25" customHeight="1">
      <c r="G824" s="97"/>
      <c r="H824" s="97"/>
    </row>
    <row r="825" spans="7:8" ht="14.25" customHeight="1">
      <c r="G825" s="97"/>
      <c r="H825" s="97"/>
    </row>
    <row r="826" spans="7:8" ht="14.25" customHeight="1">
      <c r="G826" s="97"/>
      <c r="H826" s="97"/>
    </row>
    <row r="827" spans="7:8" ht="14.25" customHeight="1">
      <c r="G827" s="97"/>
      <c r="H827" s="97"/>
    </row>
    <row r="828" spans="7:8" ht="14.25" customHeight="1">
      <c r="G828" s="97"/>
      <c r="H828" s="97"/>
    </row>
    <row r="829" spans="7:8" ht="14.25" customHeight="1">
      <c r="G829" s="97"/>
      <c r="H829" s="97"/>
    </row>
    <row r="830" spans="7:8" ht="14.25" customHeight="1">
      <c r="G830" s="97"/>
      <c r="H830" s="97"/>
    </row>
    <row r="831" spans="7:8" ht="14.25" customHeight="1">
      <c r="G831" s="97"/>
      <c r="H831" s="97"/>
    </row>
    <row r="832" spans="7:8" ht="14.25" customHeight="1">
      <c r="G832" s="97"/>
      <c r="H832" s="97"/>
    </row>
    <row r="833" spans="7:8" ht="14.25" customHeight="1">
      <c r="G833" s="97"/>
      <c r="H833" s="97"/>
    </row>
    <row r="834" spans="7:8" ht="14.25" customHeight="1">
      <c r="G834" s="97"/>
      <c r="H834" s="97"/>
    </row>
    <row r="835" spans="7:8" ht="14.25" customHeight="1">
      <c r="G835" s="97"/>
      <c r="H835" s="97"/>
    </row>
    <row r="836" spans="7:8" ht="14.25" customHeight="1">
      <c r="G836" s="97"/>
      <c r="H836" s="97"/>
    </row>
    <row r="837" spans="7:8" ht="14.25" customHeight="1">
      <c r="G837" s="97"/>
      <c r="H837" s="97"/>
    </row>
    <row r="838" spans="7:8" ht="14.25" customHeight="1">
      <c r="G838" s="97"/>
      <c r="H838" s="97"/>
    </row>
    <row r="839" spans="7:8" ht="14.25" customHeight="1">
      <c r="G839" s="97"/>
      <c r="H839" s="97"/>
    </row>
    <row r="840" spans="7:8" ht="14.25" customHeight="1">
      <c r="G840" s="97"/>
      <c r="H840" s="97"/>
    </row>
    <row r="841" spans="7:8" ht="14.25" customHeight="1">
      <c r="G841" s="97"/>
      <c r="H841" s="97"/>
    </row>
    <row r="842" spans="7:8" ht="14.25" customHeight="1">
      <c r="G842" s="97"/>
      <c r="H842" s="97"/>
    </row>
    <row r="843" spans="7:8" ht="14.25" customHeight="1">
      <c r="G843" s="97"/>
      <c r="H843" s="97"/>
    </row>
    <row r="844" spans="7:8" ht="14.25" customHeight="1">
      <c r="G844" s="97"/>
      <c r="H844" s="97"/>
    </row>
    <row r="845" spans="7:8" ht="14.25" customHeight="1">
      <c r="G845" s="97"/>
      <c r="H845" s="97"/>
    </row>
    <row r="846" spans="7:8" ht="14.25" customHeight="1">
      <c r="G846" s="97"/>
      <c r="H846" s="97"/>
    </row>
    <row r="847" spans="7:8" ht="14.25" customHeight="1">
      <c r="G847" s="97"/>
      <c r="H847" s="97"/>
    </row>
    <row r="848" spans="7:8" ht="14.25" customHeight="1">
      <c r="G848" s="97"/>
      <c r="H848" s="97"/>
    </row>
    <row r="849" spans="7:8" ht="14.25" customHeight="1">
      <c r="G849" s="97"/>
      <c r="H849" s="97"/>
    </row>
    <row r="850" spans="7:8" ht="14.25" customHeight="1">
      <c r="G850" s="97"/>
      <c r="H850" s="97"/>
    </row>
    <row r="851" spans="7:8" ht="14.25" customHeight="1">
      <c r="G851" s="97"/>
      <c r="H851" s="97"/>
    </row>
    <row r="852" spans="7:8" ht="14.25" customHeight="1">
      <c r="G852" s="97"/>
      <c r="H852" s="97"/>
    </row>
    <row r="853" spans="7:8" ht="14.25" customHeight="1">
      <c r="G853" s="97"/>
      <c r="H853" s="97"/>
    </row>
    <row r="854" spans="7:8" ht="14.25" customHeight="1">
      <c r="G854" s="97"/>
      <c r="H854" s="97"/>
    </row>
    <row r="855" spans="7:8" ht="14.25" customHeight="1">
      <c r="G855" s="97"/>
      <c r="H855" s="97"/>
    </row>
    <row r="856" spans="7:8" ht="14.25" customHeight="1">
      <c r="G856" s="97"/>
      <c r="H856" s="97"/>
    </row>
    <row r="857" spans="7:8" ht="14.25" customHeight="1">
      <c r="G857" s="97"/>
      <c r="H857" s="97"/>
    </row>
    <row r="858" spans="7:8" ht="14.25" customHeight="1">
      <c r="G858" s="97"/>
      <c r="H858" s="97"/>
    </row>
    <row r="859" spans="7:8" ht="14.25" customHeight="1">
      <c r="G859" s="97"/>
      <c r="H859" s="97"/>
    </row>
    <row r="860" spans="7:8" ht="14.25" customHeight="1">
      <c r="G860" s="97"/>
      <c r="H860" s="97"/>
    </row>
    <row r="861" spans="7:8" ht="14.25" customHeight="1">
      <c r="G861" s="97"/>
      <c r="H861" s="97"/>
    </row>
    <row r="862" spans="7:8" ht="14.25" customHeight="1">
      <c r="G862" s="97"/>
      <c r="H862" s="97"/>
    </row>
    <row r="863" spans="7:8" ht="14.25" customHeight="1">
      <c r="G863" s="97"/>
      <c r="H863" s="97"/>
    </row>
    <row r="864" spans="7:8" ht="14.25" customHeight="1">
      <c r="G864" s="97"/>
      <c r="H864" s="97"/>
    </row>
    <row r="865" spans="7:8" ht="14.25" customHeight="1">
      <c r="G865" s="97"/>
      <c r="H865" s="97"/>
    </row>
    <row r="866" spans="7:8" ht="14.25" customHeight="1">
      <c r="G866" s="97"/>
      <c r="H866" s="97"/>
    </row>
    <row r="867" spans="7:8" ht="14.25" customHeight="1">
      <c r="G867" s="97"/>
      <c r="H867" s="97"/>
    </row>
    <row r="868" spans="7:8" ht="14.25" customHeight="1">
      <c r="G868" s="97"/>
      <c r="H868" s="97"/>
    </row>
    <row r="869" spans="7:8" ht="14.25" customHeight="1">
      <c r="G869" s="97"/>
      <c r="H869" s="97"/>
    </row>
    <row r="870" spans="7:8" ht="14.25" customHeight="1">
      <c r="G870" s="97"/>
      <c r="H870" s="97"/>
    </row>
    <row r="871" spans="7:8" ht="14.25" customHeight="1">
      <c r="G871" s="97"/>
      <c r="H871" s="97"/>
    </row>
    <row r="872" spans="7:8" ht="14.25" customHeight="1">
      <c r="G872" s="97"/>
      <c r="H872" s="97"/>
    </row>
    <row r="873" spans="7:8" ht="14.25" customHeight="1">
      <c r="G873" s="97"/>
      <c r="H873" s="97"/>
    </row>
    <row r="874" spans="7:8" ht="14.25" customHeight="1">
      <c r="G874" s="97"/>
      <c r="H874" s="97"/>
    </row>
    <row r="875" spans="7:8" ht="14.25" customHeight="1">
      <c r="G875" s="97"/>
      <c r="H875" s="97"/>
    </row>
    <row r="876" spans="7:8" ht="14.25" customHeight="1">
      <c r="G876" s="97"/>
      <c r="H876" s="97"/>
    </row>
    <row r="877" spans="7:8" ht="14.25" customHeight="1">
      <c r="G877" s="97"/>
      <c r="H877" s="97"/>
    </row>
    <row r="878" spans="7:8" ht="14.25" customHeight="1">
      <c r="G878" s="97"/>
      <c r="H878" s="97"/>
    </row>
    <row r="879" spans="7:8" ht="14.25" customHeight="1">
      <c r="G879" s="97"/>
      <c r="H879" s="97"/>
    </row>
    <row r="880" spans="7:8" ht="14.25" customHeight="1">
      <c r="G880" s="97"/>
      <c r="H880" s="97"/>
    </row>
    <row r="881" spans="7:8" ht="14.25" customHeight="1">
      <c r="G881" s="97"/>
      <c r="H881" s="97"/>
    </row>
    <row r="882" spans="7:8" ht="14.25" customHeight="1">
      <c r="G882" s="97"/>
      <c r="H882" s="97"/>
    </row>
    <row r="883" spans="7:8" ht="14.25" customHeight="1">
      <c r="G883" s="97"/>
      <c r="H883" s="97"/>
    </row>
    <row r="884" spans="7:8" ht="14.25" customHeight="1">
      <c r="G884" s="97"/>
      <c r="H884" s="97"/>
    </row>
    <row r="885" spans="7:8" ht="14.25" customHeight="1">
      <c r="G885" s="97"/>
      <c r="H885" s="97"/>
    </row>
    <row r="886" spans="7:8" ht="14.25" customHeight="1">
      <c r="G886" s="97"/>
      <c r="H886" s="97"/>
    </row>
    <row r="887" spans="7:8" ht="14.25" customHeight="1">
      <c r="G887" s="97"/>
      <c r="H887" s="97"/>
    </row>
    <row r="888" spans="7:8" ht="14.25" customHeight="1">
      <c r="G888" s="97"/>
      <c r="H888" s="97"/>
    </row>
    <row r="889" spans="7:8" ht="14.25" customHeight="1">
      <c r="G889" s="97"/>
      <c r="H889" s="97"/>
    </row>
    <row r="890" spans="7:8" ht="14.25" customHeight="1">
      <c r="G890" s="97"/>
      <c r="H890" s="97"/>
    </row>
    <row r="891" spans="7:8" ht="14.25" customHeight="1">
      <c r="G891" s="97"/>
      <c r="H891" s="97"/>
    </row>
    <row r="892" spans="7:8" ht="14.25" customHeight="1">
      <c r="G892" s="97"/>
      <c r="H892" s="97"/>
    </row>
    <row r="893" spans="7:8" ht="14.25" customHeight="1">
      <c r="G893" s="97"/>
      <c r="H893" s="97"/>
    </row>
    <row r="894" spans="7:8" ht="14.25" customHeight="1">
      <c r="G894" s="97"/>
      <c r="H894" s="97"/>
    </row>
    <row r="895" spans="7:8" ht="14.25" customHeight="1">
      <c r="G895" s="97"/>
      <c r="H895" s="97"/>
    </row>
    <row r="896" spans="7:8" ht="14.25" customHeight="1">
      <c r="G896" s="97"/>
      <c r="H896" s="97"/>
    </row>
    <row r="897" spans="7:8" ht="14.25" customHeight="1">
      <c r="G897" s="97"/>
      <c r="H897" s="97"/>
    </row>
    <row r="898" spans="7:8" ht="14.25" customHeight="1">
      <c r="G898" s="97"/>
      <c r="H898" s="97"/>
    </row>
    <row r="899" spans="7:8" ht="14.25" customHeight="1">
      <c r="G899" s="97"/>
      <c r="H899" s="97"/>
    </row>
    <row r="900" spans="7:8" ht="14.25" customHeight="1">
      <c r="G900" s="97"/>
      <c r="H900" s="97"/>
    </row>
    <row r="901" spans="7:8" ht="14.25" customHeight="1">
      <c r="G901" s="97"/>
      <c r="H901" s="97"/>
    </row>
    <row r="902" spans="7:8" ht="14.25" customHeight="1">
      <c r="G902" s="97"/>
      <c r="H902" s="97"/>
    </row>
    <row r="903" spans="7:8" ht="14.25" customHeight="1">
      <c r="G903" s="97"/>
      <c r="H903" s="97"/>
    </row>
    <row r="904" spans="7:8" ht="14.25" customHeight="1">
      <c r="G904" s="97"/>
      <c r="H904" s="97"/>
    </row>
    <row r="905" spans="7:8" ht="14.25" customHeight="1">
      <c r="G905" s="97"/>
      <c r="H905" s="97"/>
    </row>
    <row r="906" spans="7:8" ht="14.25" customHeight="1">
      <c r="G906" s="97"/>
      <c r="H906" s="97"/>
    </row>
    <row r="907" spans="7:8" ht="14.25" customHeight="1">
      <c r="G907" s="97"/>
      <c r="H907" s="97"/>
    </row>
    <row r="908" spans="7:8" ht="14.25" customHeight="1">
      <c r="G908" s="97"/>
      <c r="H908" s="97"/>
    </row>
    <row r="909" spans="7:8" ht="14.25" customHeight="1">
      <c r="G909" s="97"/>
      <c r="H909" s="97"/>
    </row>
    <row r="910" spans="7:8" ht="14.25" customHeight="1">
      <c r="G910" s="97"/>
      <c r="H910" s="97"/>
    </row>
    <row r="911" spans="7:8" ht="14.25" customHeight="1">
      <c r="G911" s="97"/>
      <c r="H911" s="97"/>
    </row>
    <row r="912" spans="7:8" ht="14.25" customHeight="1">
      <c r="G912" s="97"/>
      <c r="H912" s="97"/>
    </row>
    <row r="913" spans="7:8" ht="14.25" customHeight="1">
      <c r="G913" s="97"/>
      <c r="H913" s="97"/>
    </row>
    <row r="914" spans="7:8" ht="14.25" customHeight="1">
      <c r="G914" s="97"/>
      <c r="H914" s="97"/>
    </row>
    <row r="915" spans="7:8" ht="14.25" customHeight="1">
      <c r="G915" s="97"/>
      <c r="H915" s="97"/>
    </row>
    <row r="916" spans="7:8" ht="14.25" customHeight="1">
      <c r="G916" s="97"/>
      <c r="H916" s="97"/>
    </row>
    <row r="917" spans="7:8" ht="14.25" customHeight="1">
      <c r="G917" s="97"/>
      <c r="H917" s="97"/>
    </row>
    <row r="918" spans="7:8" ht="14.25" customHeight="1">
      <c r="G918" s="97"/>
      <c r="H918" s="97"/>
    </row>
    <row r="919" spans="7:8" ht="14.25" customHeight="1">
      <c r="G919" s="97"/>
      <c r="H919" s="97"/>
    </row>
    <row r="920" spans="7:8" ht="14.25" customHeight="1">
      <c r="G920" s="97"/>
      <c r="H920" s="97"/>
    </row>
    <row r="921" spans="7:8" ht="14.25" customHeight="1">
      <c r="G921" s="97"/>
      <c r="H921" s="97"/>
    </row>
    <row r="922" spans="7:8" ht="14.25" customHeight="1">
      <c r="G922" s="97"/>
      <c r="H922" s="97"/>
    </row>
    <row r="923" spans="7:8" ht="14.25" customHeight="1">
      <c r="G923" s="97"/>
      <c r="H923" s="97"/>
    </row>
    <row r="924" spans="7:8" ht="14.25" customHeight="1">
      <c r="G924" s="97"/>
      <c r="H924" s="97"/>
    </row>
    <row r="925" spans="7:8" ht="14.25" customHeight="1">
      <c r="G925" s="97"/>
      <c r="H925" s="97"/>
    </row>
    <row r="926" spans="7:8" ht="14.25" customHeight="1">
      <c r="G926" s="97"/>
      <c r="H926" s="97"/>
    </row>
    <row r="927" spans="7:8" ht="14.25" customHeight="1">
      <c r="G927" s="97"/>
      <c r="H927" s="97"/>
    </row>
    <row r="928" spans="7:8" ht="14.25" customHeight="1">
      <c r="G928" s="97"/>
      <c r="H928" s="97"/>
    </row>
    <row r="929" spans="7:8" ht="14.25" customHeight="1">
      <c r="G929" s="97"/>
      <c r="H929" s="97"/>
    </row>
    <row r="930" spans="7:8" ht="14.25" customHeight="1">
      <c r="G930" s="97"/>
      <c r="H930" s="97"/>
    </row>
    <row r="931" spans="7:8" ht="14.25" customHeight="1">
      <c r="G931" s="97"/>
      <c r="H931" s="97"/>
    </row>
    <row r="932" spans="7:8" ht="14.25" customHeight="1">
      <c r="G932" s="97"/>
      <c r="H932" s="97"/>
    </row>
    <row r="933" spans="7:8" ht="14.25" customHeight="1">
      <c r="G933" s="97"/>
      <c r="H933" s="97"/>
    </row>
    <row r="934" spans="7:8" ht="14.25" customHeight="1">
      <c r="G934" s="97"/>
      <c r="H934" s="97"/>
    </row>
    <row r="935" spans="7:8" ht="14.25" customHeight="1">
      <c r="G935" s="97"/>
      <c r="H935" s="97"/>
    </row>
    <row r="936" spans="7:8" ht="14.25" customHeight="1">
      <c r="G936" s="97"/>
      <c r="H936" s="97"/>
    </row>
    <row r="937" spans="7:8" ht="14.25" customHeight="1">
      <c r="G937" s="97"/>
      <c r="H937" s="97"/>
    </row>
    <row r="938" spans="7:8" ht="14.25" customHeight="1">
      <c r="G938" s="97"/>
      <c r="H938" s="97"/>
    </row>
    <row r="939" spans="7:8" ht="14.25" customHeight="1">
      <c r="G939" s="97"/>
      <c r="H939" s="97"/>
    </row>
    <row r="940" spans="7:8" ht="14.25" customHeight="1">
      <c r="G940" s="97"/>
      <c r="H940" s="97"/>
    </row>
    <row r="941" spans="7:8" ht="14.25" customHeight="1">
      <c r="G941" s="97"/>
      <c r="H941" s="97"/>
    </row>
    <row r="942" spans="7:8" ht="14.25" customHeight="1">
      <c r="G942" s="97"/>
      <c r="H942" s="97"/>
    </row>
    <row r="943" spans="7:8" ht="14.25" customHeight="1">
      <c r="G943" s="97"/>
      <c r="H943" s="97"/>
    </row>
    <row r="944" spans="7:8" ht="14.25" customHeight="1">
      <c r="G944" s="97"/>
      <c r="H944" s="97"/>
    </row>
    <row r="945" spans="7:8" ht="14.25" customHeight="1">
      <c r="G945" s="97"/>
      <c r="H945" s="97"/>
    </row>
    <row r="946" spans="7:8" ht="14.25" customHeight="1">
      <c r="G946" s="97"/>
      <c r="H946" s="97"/>
    </row>
    <row r="947" spans="7:8" ht="14.25" customHeight="1">
      <c r="G947" s="97"/>
      <c r="H947" s="97"/>
    </row>
    <row r="948" spans="7:8" ht="14.25" customHeight="1">
      <c r="G948" s="97"/>
      <c r="H948" s="97"/>
    </row>
    <row r="949" spans="7:8" ht="14.25" customHeight="1">
      <c r="G949" s="97"/>
      <c r="H949" s="97"/>
    </row>
    <row r="950" spans="7:8" ht="14.25" customHeight="1">
      <c r="G950" s="97"/>
      <c r="H950" s="97"/>
    </row>
    <row r="951" spans="7:8" ht="14.25" customHeight="1">
      <c r="G951" s="97"/>
      <c r="H951" s="97"/>
    </row>
    <row r="952" spans="7:8" ht="14.25" customHeight="1">
      <c r="G952" s="97"/>
      <c r="H952" s="97"/>
    </row>
    <row r="953" spans="7:8" ht="14.25" customHeight="1">
      <c r="G953" s="97"/>
      <c r="H953" s="97"/>
    </row>
    <row r="954" spans="7:8" ht="14.25" customHeight="1">
      <c r="G954" s="97"/>
      <c r="H954" s="97"/>
    </row>
    <row r="955" spans="7:8" ht="14.25" customHeight="1">
      <c r="G955" s="97"/>
      <c r="H955" s="97"/>
    </row>
    <row r="956" spans="7:8" ht="14.25" customHeight="1">
      <c r="G956" s="97"/>
      <c r="H956" s="97"/>
    </row>
    <row r="957" spans="7:8" ht="14.25" customHeight="1">
      <c r="G957" s="97"/>
      <c r="H957" s="97"/>
    </row>
    <row r="958" spans="7:8" ht="14.25" customHeight="1">
      <c r="G958" s="97"/>
      <c r="H958" s="97"/>
    </row>
    <row r="959" spans="7:8" ht="14.25" customHeight="1">
      <c r="G959" s="97"/>
      <c r="H959" s="97"/>
    </row>
    <row r="960" spans="7:8" ht="14.25" customHeight="1">
      <c r="G960" s="97"/>
      <c r="H960" s="97"/>
    </row>
    <row r="961" spans="7:8" ht="14.25" customHeight="1">
      <c r="G961" s="97"/>
      <c r="H961" s="97"/>
    </row>
    <row r="962" spans="7:8" ht="14.25" customHeight="1">
      <c r="G962" s="97"/>
      <c r="H962" s="97"/>
    </row>
    <row r="963" spans="7:8" ht="14.25" customHeight="1">
      <c r="G963" s="97"/>
      <c r="H963" s="97"/>
    </row>
    <row r="964" spans="7:8" ht="14.25" customHeight="1">
      <c r="G964" s="97"/>
      <c r="H964" s="97"/>
    </row>
    <row r="965" spans="7:8" ht="14.25" customHeight="1">
      <c r="G965" s="97"/>
      <c r="H965" s="97"/>
    </row>
    <row r="966" spans="7:8" ht="14.25" customHeight="1">
      <c r="G966" s="97"/>
      <c r="H966" s="97"/>
    </row>
    <row r="967" spans="7:8" ht="14.25" customHeight="1">
      <c r="G967" s="97"/>
      <c r="H967" s="97"/>
    </row>
    <row r="968" spans="7:8" ht="14.25" customHeight="1">
      <c r="G968" s="97"/>
      <c r="H968" s="97"/>
    </row>
    <row r="969" spans="7:8" ht="14.25" customHeight="1">
      <c r="G969" s="97"/>
      <c r="H969" s="97"/>
    </row>
    <row r="970" spans="7:8" ht="14.25" customHeight="1">
      <c r="G970" s="97"/>
      <c r="H970" s="97"/>
    </row>
    <row r="971" spans="7:8" ht="14.25" customHeight="1">
      <c r="G971" s="97"/>
      <c r="H971" s="97"/>
    </row>
    <row r="972" spans="7:8" ht="14.25" customHeight="1">
      <c r="G972" s="97"/>
      <c r="H972" s="97"/>
    </row>
    <row r="973" spans="7:8" ht="14.25" customHeight="1">
      <c r="G973" s="97"/>
      <c r="H973" s="97"/>
    </row>
    <row r="974" spans="7:8" ht="14.25" customHeight="1">
      <c r="G974" s="97"/>
      <c r="H974" s="97"/>
    </row>
    <row r="975" spans="7:8" ht="14.25" customHeight="1">
      <c r="G975" s="97"/>
      <c r="H975" s="97"/>
    </row>
    <row r="976" spans="7:8" ht="14.25" customHeight="1">
      <c r="G976" s="97"/>
      <c r="H976" s="97"/>
    </row>
    <row r="977" spans="7:8" ht="14.25" customHeight="1">
      <c r="G977" s="97"/>
      <c r="H977" s="97"/>
    </row>
    <row r="978" spans="7:8" ht="14.25" customHeight="1">
      <c r="G978" s="97"/>
      <c r="H978" s="97"/>
    </row>
    <row r="979" spans="7:8" ht="14.25" customHeight="1">
      <c r="G979" s="97"/>
      <c r="H979" s="97"/>
    </row>
    <row r="980" spans="7:8" ht="14.25" customHeight="1">
      <c r="G980" s="97"/>
      <c r="H980" s="97"/>
    </row>
    <row r="981" spans="7:8" ht="14.25" customHeight="1">
      <c r="G981" s="97"/>
      <c r="H981" s="97"/>
    </row>
    <row r="982" spans="7:8" ht="14.25" customHeight="1">
      <c r="G982" s="97"/>
      <c r="H982" s="97"/>
    </row>
    <row r="983" spans="7:8" ht="14.25" customHeight="1">
      <c r="G983" s="97"/>
      <c r="H983" s="97"/>
    </row>
    <row r="984" spans="7:8" ht="14.25" customHeight="1">
      <c r="G984" s="97"/>
      <c r="H984" s="97"/>
    </row>
    <row r="985" spans="7:8" ht="14.25" customHeight="1">
      <c r="G985" s="97"/>
      <c r="H985" s="97"/>
    </row>
    <row r="986" spans="7:8" ht="14.25" customHeight="1">
      <c r="G986" s="97"/>
      <c r="H986" s="97"/>
    </row>
    <row r="987" spans="7:8" ht="14.25" customHeight="1">
      <c r="G987" s="97"/>
      <c r="H987" s="97"/>
    </row>
    <row r="988" spans="7:8" ht="14.25" customHeight="1">
      <c r="G988" s="97"/>
      <c r="H988" s="97"/>
    </row>
    <row r="989" spans="7:8" ht="14.25" customHeight="1">
      <c r="G989" s="97"/>
      <c r="H989" s="97"/>
    </row>
    <row r="990" spans="7:8" ht="14.25" customHeight="1">
      <c r="G990" s="97"/>
      <c r="H990" s="97"/>
    </row>
    <row r="991" spans="7:8" ht="14.25" customHeight="1">
      <c r="G991" s="97"/>
      <c r="H991" s="97"/>
    </row>
    <row r="992" spans="7:8" ht="14.25" customHeight="1">
      <c r="G992" s="97"/>
      <c r="H992" s="97"/>
    </row>
    <row r="993" spans="7:8" ht="14.25" customHeight="1">
      <c r="G993" s="97"/>
      <c r="H993" s="97"/>
    </row>
    <row r="994" spans="7:8" ht="14.25" customHeight="1">
      <c r="G994" s="97"/>
      <c r="H994" s="97"/>
    </row>
    <row r="995" spans="7:8" ht="14.25" customHeight="1">
      <c r="G995" s="97"/>
      <c r="H995" s="97"/>
    </row>
    <row r="996" spans="7:8" ht="14.25" customHeight="1">
      <c r="G996" s="97"/>
      <c r="H996" s="97"/>
    </row>
    <row r="997" spans="7:8" ht="14.25" customHeight="1">
      <c r="G997" s="97"/>
      <c r="H997" s="97"/>
    </row>
    <row r="998" spans="7:8" ht="14.25" customHeight="1">
      <c r="G998" s="97"/>
      <c r="H998" s="97"/>
    </row>
    <row r="999" spans="7:8" ht="14.25" customHeight="1">
      <c r="G999" s="97"/>
      <c r="H999" s="97"/>
    </row>
    <row r="1000" spans="7:8" ht="14.25" customHeight="1">
      <c r="G1000" s="97"/>
      <c r="H1000" s="97"/>
    </row>
  </sheetData>
  <mergeCells count="2">
    <mergeCell ref="F1:I1"/>
    <mergeCell ref="K1:M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E1:L1000"/>
  <sheetViews>
    <sheetView workbookViewId="0">
      <selection activeCell="I10" sqref="I10"/>
    </sheetView>
  </sheetViews>
  <sheetFormatPr defaultColWidth="14.42578125" defaultRowHeight="15" customHeight="1"/>
  <cols>
    <col min="1" max="26" width="8.7109375" customWidth="1"/>
  </cols>
  <sheetData>
    <row r="1" spans="5:12" ht="14.25" customHeight="1">
      <c r="E1" s="113" t="s">
        <v>341</v>
      </c>
      <c r="F1" s="100"/>
      <c r="G1" s="100"/>
      <c r="H1" s="100"/>
      <c r="I1" s="97"/>
      <c r="J1" s="114" t="s">
        <v>340</v>
      </c>
      <c r="K1" s="100"/>
      <c r="L1" s="100"/>
    </row>
    <row r="2" spans="5:12" ht="14.25" customHeight="1">
      <c r="E2" s="97"/>
      <c r="F2" s="97"/>
      <c r="G2" s="97"/>
      <c r="H2" s="97"/>
      <c r="I2" s="97"/>
      <c r="J2" s="97"/>
      <c r="K2" s="97"/>
      <c r="L2" s="97"/>
    </row>
    <row r="3" spans="5:12" ht="14.25" customHeight="1">
      <c r="E3" s="97"/>
      <c r="F3" s="94" t="s">
        <v>14</v>
      </c>
      <c r="G3" s="97"/>
      <c r="H3" s="97"/>
      <c r="I3" s="97"/>
      <c r="J3" s="97"/>
      <c r="K3" s="97"/>
      <c r="L3" s="97"/>
    </row>
    <row r="4" spans="5:12" ht="14.25" customHeight="1">
      <c r="E4" s="97"/>
      <c r="F4" s="93">
        <f>COUNTIF(Data!E5:E44,"Male")</f>
        <v>22</v>
      </c>
      <c r="G4" s="97"/>
      <c r="H4" s="97"/>
      <c r="I4" s="97"/>
      <c r="J4" s="97"/>
      <c r="K4" s="97"/>
      <c r="L4" s="97"/>
    </row>
    <row r="5" spans="5:12" ht="14.25" customHeight="1">
      <c r="E5" s="97"/>
      <c r="F5" s="97"/>
      <c r="G5" s="97"/>
      <c r="H5" s="97"/>
      <c r="I5" s="97"/>
      <c r="J5" s="97"/>
      <c r="K5" s="97"/>
      <c r="L5" s="97"/>
    </row>
    <row r="6" spans="5:12" ht="14.25" customHeight="1">
      <c r="E6" s="97"/>
      <c r="F6" s="97"/>
      <c r="G6" s="97"/>
      <c r="H6" s="97"/>
      <c r="I6" s="97"/>
      <c r="J6" s="97"/>
      <c r="K6" s="97"/>
      <c r="L6" s="97"/>
    </row>
    <row r="7" spans="5:12" ht="14.25" customHeight="1">
      <c r="E7" s="97"/>
      <c r="F7" s="97"/>
      <c r="G7" s="97"/>
      <c r="H7" s="97"/>
      <c r="I7" s="97"/>
      <c r="J7" s="97"/>
      <c r="K7" s="97"/>
      <c r="L7" s="97"/>
    </row>
    <row r="8" spans="5:12" ht="14.25" customHeight="1">
      <c r="E8" s="97"/>
      <c r="F8" s="97"/>
      <c r="G8" s="97"/>
      <c r="H8" s="97"/>
      <c r="I8" s="97"/>
      <c r="J8" s="97"/>
      <c r="K8" s="97"/>
      <c r="L8" s="97"/>
    </row>
    <row r="9" spans="5:12" ht="14.25" customHeight="1">
      <c r="E9" s="97"/>
      <c r="F9" s="97"/>
      <c r="G9" s="97"/>
      <c r="H9" s="97"/>
      <c r="I9" s="97"/>
      <c r="J9" s="97"/>
      <c r="K9" s="97"/>
      <c r="L9" s="97"/>
    </row>
    <row r="10" spans="5:12" ht="14.25" customHeight="1">
      <c r="E10" s="97"/>
      <c r="F10" s="97"/>
      <c r="G10" s="97"/>
      <c r="H10" s="97"/>
      <c r="I10" s="97"/>
      <c r="J10" s="97"/>
      <c r="K10" s="97"/>
      <c r="L10" s="97"/>
    </row>
    <row r="11" spans="5:12" ht="14.25" customHeight="1">
      <c r="E11" s="97"/>
      <c r="F11" s="97"/>
      <c r="G11" s="97"/>
      <c r="H11" s="97"/>
      <c r="I11" s="97"/>
      <c r="J11" s="97"/>
      <c r="K11" s="97"/>
      <c r="L11" s="97"/>
    </row>
    <row r="12" spans="5:12" ht="14.25" customHeight="1">
      <c r="E12" s="97"/>
      <c r="F12" s="97"/>
      <c r="G12" s="97"/>
      <c r="H12" s="97"/>
      <c r="I12" s="97"/>
      <c r="J12" s="97"/>
      <c r="K12" s="97"/>
      <c r="L12" s="97"/>
    </row>
    <row r="13" spans="5:12" ht="14.25" customHeight="1">
      <c r="E13" s="97"/>
      <c r="F13" s="97"/>
      <c r="G13" s="97"/>
      <c r="H13" s="97"/>
      <c r="I13" s="97"/>
      <c r="J13" s="97"/>
      <c r="K13" s="97"/>
      <c r="L13" s="97"/>
    </row>
    <row r="14" spans="5:12" ht="14.25" customHeight="1">
      <c r="E14" s="97"/>
      <c r="F14" s="97"/>
      <c r="G14" s="97"/>
      <c r="H14" s="97"/>
      <c r="I14" s="97"/>
      <c r="J14" s="97"/>
      <c r="K14" s="97"/>
      <c r="L14" s="97"/>
    </row>
    <row r="15" spans="5:12" ht="14.25" customHeight="1">
      <c r="E15" s="97"/>
      <c r="F15" s="97"/>
      <c r="G15" s="97"/>
      <c r="H15" s="97"/>
      <c r="I15" s="97"/>
      <c r="J15" s="97"/>
      <c r="K15" s="97"/>
      <c r="L15" s="97"/>
    </row>
    <row r="16" spans="5:12" ht="14.25" customHeight="1">
      <c r="E16" s="97"/>
      <c r="F16" s="97"/>
      <c r="G16" s="97"/>
      <c r="H16" s="97"/>
      <c r="I16" s="97"/>
      <c r="J16" s="97"/>
      <c r="K16" s="97"/>
      <c r="L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J1:L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J1000"/>
  <sheetViews>
    <sheetView workbookViewId="0">
      <selection activeCell="E16" sqref="E16"/>
    </sheetView>
  </sheetViews>
  <sheetFormatPr defaultColWidth="14.42578125" defaultRowHeight="15" customHeight="1"/>
  <cols>
    <col min="1" max="2" width="8.7109375" customWidth="1"/>
    <col min="3" max="3" width="17.42578125" customWidth="1"/>
    <col min="4" max="4" width="10.85546875" customWidth="1"/>
    <col min="5" max="5" width="13.42578125" customWidth="1"/>
    <col min="6" max="6" width="11.7109375" customWidth="1"/>
    <col min="7" max="26" width="8.7109375" customWidth="1"/>
  </cols>
  <sheetData>
    <row r="1" spans="2:10" ht="14.25" customHeight="1">
      <c r="B1" s="113" t="s">
        <v>342</v>
      </c>
      <c r="C1" s="100"/>
      <c r="D1" s="100"/>
      <c r="E1" s="100"/>
      <c r="F1" s="100"/>
      <c r="G1" s="97"/>
      <c r="H1" s="114" t="s">
        <v>340</v>
      </c>
      <c r="I1" s="100"/>
      <c r="J1" s="100"/>
    </row>
    <row r="2" spans="2:10" ht="14.25" customHeight="1">
      <c r="B2" s="97"/>
      <c r="C2" s="97"/>
      <c r="D2" s="97"/>
      <c r="E2" s="97"/>
      <c r="F2" s="97"/>
      <c r="G2" s="97"/>
      <c r="H2" s="97"/>
      <c r="I2" s="97"/>
      <c r="J2" s="97"/>
    </row>
    <row r="3" spans="2:10" ht="14.25" customHeight="1">
      <c r="B3" s="97"/>
      <c r="C3" s="97"/>
      <c r="D3" s="97"/>
      <c r="E3" s="97"/>
      <c r="F3" s="97"/>
      <c r="G3" s="97"/>
      <c r="H3" s="97"/>
      <c r="I3" s="97"/>
      <c r="J3" s="97"/>
    </row>
    <row r="4" spans="2:10" ht="14.25" customHeight="1">
      <c r="B4" s="97"/>
      <c r="C4" s="86" t="s">
        <v>6</v>
      </c>
      <c r="D4" s="86" t="s">
        <v>4</v>
      </c>
      <c r="E4" s="97" t="s">
        <v>343</v>
      </c>
      <c r="F4" s="97"/>
      <c r="G4" s="97"/>
      <c r="H4" s="97"/>
      <c r="I4" s="97"/>
      <c r="J4" s="97"/>
    </row>
    <row r="5" spans="2:10" ht="14.25" customHeight="1">
      <c r="B5" s="97"/>
      <c r="C5" s="97" t="s">
        <v>19</v>
      </c>
      <c r="D5" s="97" t="s">
        <v>14</v>
      </c>
      <c r="E5" s="87">
        <v>98000</v>
      </c>
      <c r="F5" s="97"/>
      <c r="G5" s="97"/>
      <c r="H5" s="97"/>
      <c r="I5" s="97"/>
      <c r="J5" s="97"/>
    </row>
    <row r="6" spans="2:10" ht="14.25" customHeight="1">
      <c r="B6" s="97"/>
      <c r="C6" s="97" t="s">
        <v>344</v>
      </c>
      <c r="D6" s="97"/>
      <c r="E6" s="87">
        <v>98000</v>
      </c>
      <c r="F6" s="97"/>
      <c r="G6" s="97"/>
      <c r="H6" s="97"/>
      <c r="I6" s="97"/>
      <c r="J6" s="97"/>
    </row>
    <row r="7" spans="2:10" ht="14.25" customHeight="1">
      <c r="B7" s="97"/>
      <c r="C7" s="97" t="s">
        <v>333</v>
      </c>
      <c r="D7" s="97"/>
      <c r="E7" s="87">
        <v>98000</v>
      </c>
      <c r="F7" s="97"/>
      <c r="G7" s="97"/>
      <c r="H7" s="97"/>
      <c r="I7" s="97"/>
      <c r="J7" s="97"/>
    </row>
    <row r="8" spans="2:10" ht="14.25" customHeight="1">
      <c r="B8" s="97"/>
      <c r="C8" s="97"/>
      <c r="D8" s="97"/>
      <c r="E8" s="97"/>
      <c r="F8" s="97"/>
      <c r="G8" s="97"/>
      <c r="H8" s="97"/>
      <c r="I8" s="97"/>
      <c r="J8" s="97"/>
    </row>
    <row r="9" spans="2:10" ht="14.25" customHeight="1">
      <c r="B9" s="97"/>
      <c r="C9" s="97"/>
      <c r="D9" s="97"/>
      <c r="E9" s="97"/>
      <c r="F9" s="97"/>
      <c r="G9" s="97"/>
      <c r="H9" s="97"/>
      <c r="I9" s="97"/>
      <c r="J9" s="97"/>
    </row>
    <row r="10" spans="2:10" ht="14.25" customHeight="1">
      <c r="B10" s="97"/>
      <c r="C10" s="97"/>
      <c r="D10" s="97"/>
      <c r="E10" s="97"/>
      <c r="F10" s="97"/>
      <c r="G10" s="97"/>
      <c r="H10" s="97"/>
      <c r="I10" s="97"/>
      <c r="J10" s="97"/>
    </row>
    <row r="11" spans="2:10" ht="14.25" customHeight="1">
      <c r="B11" s="97"/>
      <c r="C11" s="97"/>
      <c r="D11" s="97"/>
      <c r="E11" s="97"/>
      <c r="F11" s="97"/>
      <c r="G11" s="97"/>
      <c r="H11" s="97"/>
      <c r="I11" s="97"/>
      <c r="J11" s="97"/>
    </row>
    <row r="12" spans="2:10" ht="14.25" customHeight="1">
      <c r="B12" s="97"/>
      <c r="C12" s="97"/>
      <c r="D12" s="97"/>
      <c r="E12" s="97"/>
      <c r="F12" s="97"/>
      <c r="G12" s="97"/>
      <c r="H12" s="97"/>
      <c r="I12" s="97"/>
      <c r="J12" s="97"/>
    </row>
    <row r="13" spans="2:10" ht="14.25" customHeight="1">
      <c r="B13" s="97"/>
      <c r="C13" s="97"/>
      <c r="D13" s="97"/>
      <c r="E13" s="97"/>
      <c r="F13" s="97"/>
      <c r="G13" s="97"/>
      <c r="H13" s="97"/>
      <c r="I13" s="97"/>
      <c r="J13" s="97"/>
    </row>
    <row r="14" spans="2:10" ht="14.25" customHeight="1">
      <c r="B14" s="97"/>
      <c r="C14" s="97"/>
      <c r="D14" s="97"/>
      <c r="E14" s="97"/>
      <c r="F14" s="97"/>
      <c r="G14" s="97"/>
      <c r="H14" s="97"/>
      <c r="I14" s="97"/>
      <c r="J14" s="97"/>
    </row>
    <row r="15" spans="2:10" ht="14.25" customHeight="1">
      <c r="B15" s="97"/>
      <c r="C15" s="97"/>
      <c r="D15" s="97"/>
      <c r="E15" s="97"/>
      <c r="F15" s="97"/>
      <c r="G15" s="97"/>
      <c r="H15" s="97"/>
      <c r="I15" s="97"/>
      <c r="J15" s="97"/>
    </row>
    <row r="16" spans="2:10" ht="14.25" customHeight="1">
      <c r="B16" s="97"/>
      <c r="C16" s="97"/>
      <c r="D16" s="97"/>
      <c r="E16" s="97"/>
      <c r="F16" s="97"/>
      <c r="G16" s="97"/>
      <c r="H16" s="97"/>
      <c r="I16" s="97"/>
      <c r="J16" s="97"/>
    </row>
    <row r="17" spans="3:5" ht="14.25" customHeight="1">
      <c r="C17" s="97"/>
      <c r="D17" s="97"/>
      <c r="E17" s="97"/>
    </row>
    <row r="18" spans="3:5" ht="14.25" customHeight="1">
      <c r="C18" s="97"/>
      <c r="D18" s="97"/>
      <c r="E18" s="97"/>
    </row>
    <row r="19" spans="3:5" ht="14.25" customHeight="1">
      <c r="C19" s="97"/>
      <c r="D19" s="97"/>
      <c r="E19" s="97"/>
    </row>
    <row r="20" spans="3:5" ht="14.25" customHeight="1">
      <c r="C20" s="97"/>
      <c r="D20" s="97"/>
      <c r="E20" s="97"/>
    </row>
    <row r="21" spans="3:5" ht="14.25" customHeight="1">
      <c r="C21" s="97"/>
      <c r="D21" s="97"/>
      <c r="E21" s="97"/>
    </row>
    <row r="22" spans="3:5" ht="14.25" customHeight="1">
      <c r="C22" s="97"/>
      <c r="D22" s="97"/>
      <c r="E22" s="97"/>
    </row>
    <row r="23" spans="3:5" ht="14.25" customHeight="1">
      <c r="C23" s="97"/>
      <c r="D23" s="97"/>
      <c r="E23" s="97"/>
    </row>
    <row r="24" spans="3:5" ht="14.25" customHeight="1">
      <c r="C24" s="97"/>
      <c r="D24" s="97"/>
      <c r="E24" s="97"/>
    </row>
    <row r="25" spans="3:5" ht="14.25" customHeight="1">
      <c r="C25" s="97"/>
      <c r="D25" s="97"/>
      <c r="E25" s="97"/>
    </row>
    <row r="26" spans="3:5" ht="14.25" customHeight="1">
      <c r="C26" s="97"/>
      <c r="D26" s="97"/>
      <c r="E26" s="97"/>
    </row>
    <row r="27" spans="3:5" ht="14.25" customHeight="1">
      <c r="C27" s="97"/>
      <c r="D27" s="97"/>
      <c r="E27" s="97"/>
    </row>
    <row r="28" spans="3:5" ht="14.25" customHeight="1">
      <c r="C28" s="97"/>
      <c r="D28" s="97"/>
      <c r="E28" s="97"/>
    </row>
    <row r="29" spans="3:5" ht="14.25" customHeight="1">
      <c r="C29" s="97"/>
      <c r="D29" s="97"/>
      <c r="E29" s="97"/>
    </row>
    <row r="30" spans="3:5" ht="14.25" customHeight="1">
      <c r="C30" s="97"/>
      <c r="D30" s="97"/>
      <c r="E30" s="97"/>
    </row>
    <row r="31" spans="3:5" ht="14.25" customHeight="1">
      <c r="C31" s="97"/>
      <c r="D31" s="97"/>
      <c r="E31" s="97"/>
    </row>
    <row r="32" spans="3:5" ht="14.25" customHeight="1">
      <c r="C32" s="97"/>
      <c r="D32" s="97"/>
      <c r="E32" s="9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H1:J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I1000"/>
  <sheetViews>
    <sheetView workbookViewId="0">
      <selection activeCell="B3" sqref="B3"/>
    </sheetView>
  </sheetViews>
  <sheetFormatPr defaultColWidth="14.42578125" defaultRowHeight="15" customHeight="1"/>
  <cols>
    <col min="1" max="1" width="8.7109375" customWidth="1"/>
    <col min="2" max="2" width="11.7109375" customWidth="1"/>
    <col min="3" max="3" width="13.42578125" customWidth="1"/>
    <col min="4" max="26" width="8.7109375" customWidth="1"/>
  </cols>
  <sheetData>
    <row r="1" spans="2:9" ht="14.25" customHeight="1">
      <c r="B1" s="113" t="s">
        <v>345</v>
      </c>
      <c r="C1" s="100"/>
      <c r="D1" s="100"/>
      <c r="E1" s="100"/>
      <c r="F1" s="100"/>
      <c r="G1" s="114" t="s">
        <v>340</v>
      </c>
      <c r="H1" s="100"/>
      <c r="I1" s="100"/>
    </row>
    <row r="2" spans="2:9" ht="14.25" customHeight="1">
      <c r="B2" s="97"/>
      <c r="C2" s="97"/>
      <c r="D2" s="97"/>
      <c r="E2" s="97"/>
      <c r="F2" s="97"/>
      <c r="G2" s="97"/>
      <c r="H2" s="97"/>
      <c r="I2" s="97"/>
    </row>
    <row r="3" spans="2:9" ht="14.25" customHeight="1">
      <c r="B3" s="86" t="s">
        <v>4</v>
      </c>
      <c r="C3" s="97" t="s">
        <v>343</v>
      </c>
      <c r="D3" s="97"/>
      <c r="E3" s="97"/>
      <c r="F3" s="97"/>
      <c r="G3" s="97"/>
      <c r="H3" s="97"/>
      <c r="I3" s="97"/>
    </row>
    <row r="4" spans="2:9" ht="14.25" customHeight="1">
      <c r="B4" s="97" t="s">
        <v>18</v>
      </c>
      <c r="C4" s="87">
        <v>419000</v>
      </c>
      <c r="D4" s="97"/>
      <c r="E4" s="97"/>
      <c r="F4" s="97"/>
      <c r="G4" s="97"/>
      <c r="H4" s="97"/>
      <c r="I4" s="97"/>
    </row>
    <row r="5" spans="2:9" ht="14.25" customHeight="1">
      <c r="B5" s="97" t="s">
        <v>333</v>
      </c>
      <c r="C5" s="87">
        <v>419000</v>
      </c>
      <c r="D5" s="97"/>
      <c r="E5" s="97"/>
      <c r="F5" s="97"/>
      <c r="G5" s="97"/>
      <c r="H5" s="97"/>
      <c r="I5" s="97"/>
    </row>
    <row r="6" spans="2:9" ht="14.25" customHeight="1">
      <c r="B6" s="97"/>
      <c r="C6" s="97"/>
      <c r="D6" s="97"/>
      <c r="E6" s="97"/>
      <c r="F6" s="97"/>
      <c r="G6" s="97"/>
      <c r="H6" s="97"/>
      <c r="I6" s="97"/>
    </row>
    <row r="7" spans="2:9" ht="14.25" customHeight="1">
      <c r="B7" s="97"/>
      <c r="C7" s="97"/>
      <c r="D7" s="97"/>
      <c r="E7" s="97"/>
      <c r="F7" s="97"/>
      <c r="G7" s="97"/>
      <c r="H7" s="97"/>
      <c r="I7" s="97"/>
    </row>
    <row r="8" spans="2:9" ht="14.25" customHeight="1">
      <c r="B8" s="97"/>
      <c r="C8" s="97"/>
      <c r="D8" s="97"/>
      <c r="E8" s="97"/>
      <c r="F8" s="97"/>
      <c r="G8" s="97"/>
      <c r="H8" s="97"/>
      <c r="I8" s="97"/>
    </row>
    <row r="9" spans="2:9" ht="14.25" customHeight="1">
      <c r="B9" s="97"/>
      <c r="C9" s="97"/>
      <c r="D9" s="97"/>
      <c r="E9" s="97"/>
      <c r="F9" s="97"/>
      <c r="G9" s="97"/>
      <c r="H9" s="97"/>
      <c r="I9" s="97"/>
    </row>
    <row r="10" spans="2:9" ht="14.25" customHeight="1">
      <c r="B10" s="97"/>
      <c r="C10" s="97"/>
      <c r="D10" s="97"/>
      <c r="E10" s="97"/>
      <c r="F10" s="97"/>
      <c r="G10" s="97"/>
      <c r="H10" s="97"/>
      <c r="I10" s="97"/>
    </row>
    <row r="11" spans="2:9" ht="14.25" customHeight="1">
      <c r="B11" s="97"/>
      <c r="C11" s="97"/>
      <c r="D11" s="97"/>
      <c r="E11" s="97"/>
      <c r="F11" s="97"/>
      <c r="G11" s="97"/>
      <c r="H11" s="97"/>
      <c r="I11" s="97"/>
    </row>
    <row r="12" spans="2:9" ht="14.25" customHeight="1">
      <c r="B12" s="97"/>
      <c r="C12" s="97"/>
      <c r="D12" s="97"/>
      <c r="E12" s="97"/>
      <c r="F12" s="97"/>
      <c r="G12" s="97"/>
      <c r="H12" s="97"/>
      <c r="I12" s="97"/>
    </row>
    <row r="13" spans="2:9" ht="14.25" customHeight="1">
      <c r="B13" s="97"/>
      <c r="C13" s="97"/>
      <c r="D13" s="97"/>
      <c r="E13" s="97"/>
      <c r="F13" s="97"/>
      <c r="G13" s="97"/>
      <c r="H13" s="97"/>
      <c r="I13" s="97"/>
    </row>
    <row r="14" spans="2:9" ht="14.25" customHeight="1">
      <c r="B14" s="97"/>
      <c r="C14" s="97"/>
      <c r="D14" s="97"/>
      <c r="E14" s="97"/>
      <c r="F14" s="97"/>
      <c r="G14" s="97"/>
      <c r="H14" s="97"/>
      <c r="I14" s="97"/>
    </row>
    <row r="15" spans="2:9" ht="14.25" customHeight="1">
      <c r="B15" s="97"/>
      <c r="C15" s="97"/>
      <c r="D15" s="97"/>
      <c r="E15" s="97"/>
      <c r="F15" s="97"/>
      <c r="G15" s="97"/>
      <c r="H15" s="97"/>
      <c r="I15" s="97"/>
    </row>
    <row r="16" spans="2:9" ht="14.25" customHeight="1">
      <c r="B16" s="97"/>
      <c r="C16" s="97"/>
      <c r="D16" s="97"/>
      <c r="E16" s="97"/>
      <c r="F16" s="97"/>
      <c r="G16" s="97"/>
      <c r="H16" s="97"/>
      <c r="I16" s="97"/>
    </row>
    <row r="17" spans="2:4" ht="14.25" customHeight="1">
      <c r="B17" s="97"/>
      <c r="C17" s="97"/>
      <c r="D17" s="97"/>
    </row>
    <row r="18" spans="2:4" ht="14.25" customHeight="1">
      <c r="B18" s="97"/>
      <c r="C18" s="97"/>
      <c r="D18" s="97"/>
    </row>
    <row r="19" spans="2:4" ht="14.25" customHeight="1">
      <c r="B19" s="97"/>
      <c r="C19" s="97"/>
      <c r="D19" s="97"/>
    </row>
    <row r="20" spans="2:4" ht="14.25" customHeight="1">
      <c r="B20" s="97"/>
      <c r="C20" s="97"/>
      <c r="D20" s="97"/>
    </row>
    <row r="21" spans="2:4" ht="14.25" customHeight="1">
      <c r="B21" s="97"/>
      <c r="C21" s="97"/>
      <c r="D21" s="97"/>
    </row>
    <row r="22" spans="2:4" ht="14.25" customHeight="1">
      <c r="B22" s="97"/>
      <c r="C22" s="97"/>
      <c r="D22" s="97"/>
    </row>
    <row r="23" spans="2:4" ht="14.25" customHeight="1">
      <c r="B23" s="97"/>
      <c r="C23" s="97"/>
      <c r="D23" s="97"/>
    </row>
    <row r="24" spans="2:4" ht="14.25" customHeight="1">
      <c r="B24" s="97"/>
      <c r="C24" s="97"/>
      <c r="D24" s="97"/>
    </row>
    <row r="25" spans="2:4" ht="14.25" customHeight="1">
      <c r="B25" s="97"/>
      <c r="C25" s="97"/>
      <c r="D25" s="97"/>
    </row>
    <row r="26" spans="2:4" ht="14.25" customHeight="1">
      <c r="B26" s="97"/>
      <c r="C26" s="97"/>
      <c r="D26" s="97"/>
    </row>
    <row r="27" spans="2:4" ht="14.25" customHeight="1">
      <c r="B27" s="97"/>
      <c r="C27" s="97"/>
      <c r="D27" s="97"/>
    </row>
    <row r="28" spans="2:4" ht="14.25" customHeight="1">
      <c r="B28" s="97"/>
      <c r="C28" s="97"/>
      <c r="D28" s="97"/>
    </row>
    <row r="29" spans="2:4" ht="14.25" customHeight="1">
      <c r="B29" s="97"/>
      <c r="C29" s="97"/>
      <c r="D29" s="97"/>
    </row>
    <row r="30" spans="2:4" ht="14.25" customHeight="1">
      <c r="B30" s="97"/>
      <c r="C30" s="97"/>
      <c r="D30" s="97"/>
    </row>
    <row r="31" spans="2:4" ht="14.25" customHeight="1">
      <c r="B31" s="97"/>
      <c r="C31" s="97"/>
      <c r="D31" s="97"/>
    </row>
    <row r="32" spans="2:4" ht="14.25" customHeight="1">
      <c r="B32" s="97"/>
      <c r="C32" s="97"/>
      <c r="D32" s="9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G1:I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D1:N1000"/>
  <sheetViews>
    <sheetView workbookViewId="0">
      <selection activeCell="I4" sqref="I4"/>
    </sheetView>
  </sheetViews>
  <sheetFormatPr defaultColWidth="14.42578125" defaultRowHeight="15" customHeight="1"/>
  <cols>
    <col min="1" max="2" width="8.7109375" customWidth="1"/>
    <col min="3" max="3" width="8.28515625" customWidth="1"/>
    <col min="4" max="4" width="8.7109375" hidden="1" customWidth="1"/>
    <col min="5" max="5" width="16.42578125" customWidth="1"/>
    <col min="6" max="6" width="7.42578125" customWidth="1"/>
    <col min="7" max="7" width="7" customWidth="1"/>
    <col min="8" max="8" width="9.7109375" customWidth="1"/>
    <col min="9" max="9" width="24.7109375" customWidth="1"/>
    <col min="10" max="10" width="12" customWidth="1"/>
    <col min="11" max="26" width="8.7109375" customWidth="1"/>
  </cols>
  <sheetData>
    <row r="1" spans="5:14" ht="14.25" customHeight="1">
      <c r="E1" s="115" t="s">
        <v>346</v>
      </c>
      <c r="F1" s="100"/>
      <c r="G1" s="100"/>
      <c r="H1" s="100"/>
      <c r="I1" s="57"/>
      <c r="J1" s="57"/>
      <c r="K1" s="97"/>
      <c r="L1" s="97"/>
      <c r="M1" s="97"/>
      <c r="N1" s="97"/>
    </row>
    <row r="2" spans="5:14" ht="14.25" customHeight="1">
      <c r="E2" s="97"/>
      <c r="F2" s="97"/>
      <c r="G2" s="97"/>
      <c r="H2" s="97"/>
      <c r="I2" s="97"/>
      <c r="J2" s="97"/>
      <c r="K2" s="97"/>
      <c r="L2" s="97"/>
      <c r="M2" s="97"/>
      <c r="N2" s="97"/>
    </row>
    <row r="3" spans="5:14" ht="14.25" customHeight="1">
      <c r="E3" s="2" t="s">
        <v>2</v>
      </c>
      <c r="F3" s="2" t="s">
        <v>3</v>
      </c>
      <c r="G3" s="2" t="s">
        <v>4</v>
      </c>
      <c r="H3" s="2" t="s">
        <v>5</v>
      </c>
      <c r="I3" s="82" t="s">
        <v>108</v>
      </c>
      <c r="J3" s="58"/>
      <c r="K3" s="116" t="s">
        <v>347</v>
      </c>
      <c r="L3" s="100"/>
      <c r="M3" s="100"/>
      <c r="N3" s="100"/>
    </row>
    <row r="4" spans="5:14" ht="14.25" customHeight="1">
      <c r="E4" s="3" t="s">
        <v>13</v>
      </c>
      <c r="F4" s="3">
        <v>112</v>
      </c>
      <c r="G4" s="3" t="s">
        <v>14</v>
      </c>
      <c r="H4" s="4">
        <v>37084</v>
      </c>
      <c r="I4" s="97" t="str" cm="1">
        <f t="array" aca="1" ref="I4" ca="1">_xlfn.LET(_xlpm.d,H4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25 Years 3 Months 14 Days</v>
      </c>
      <c r="J4" s="97"/>
      <c r="K4" s="97"/>
      <c r="L4" s="97"/>
      <c r="M4" s="97"/>
      <c r="N4" s="97"/>
    </row>
    <row r="5" spans="5:14" ht="14.25" customHeight="1">
      <c r="E5" s="3" t="s">
        <v>17</v>
      </c>
      <c r="F5" s="3">
        <v>113</v>
      </c>
      <c r="G5" s="3" t="s">
        <v>18</v>
      </c>
      <c r="H5" s="4">
        <v>35354</v>
      </c>
      <c r="I5" s="97" t="str" cm="1">
        <f t="array" aca="1" ref="I5" ca="1">_xlfn.LET(_xlpm.d,H5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29 Years 11 Months 14 Days</v>
      </c>
      <c r="J5" s="97"/>
      <c r="K5" s="97"/>
      <c r="L5" s="97"/>
      <c r="M5" s="97"/>
      <c r="N5" s="97"/>
    </row>
    <row r="6" spans="5:14" ht="14.25" customHeight="1">
      <c r="E6" s="3" t="s">
        <v>21</v>
      </c>
      <c r="F6" s="3">
        <v>114</v>
      </c>
      <c r="G6" s="3" t="s">
        <v>14</v>
      </c>
      <c r="H6" s="4">
        <v>33266</v>
      </c>
      <c r="I6" s="97" t="str" cm="1">
        <f t="array" aca="1" ref="I6" ca="1">_xlfn.LET(_xlpm.d,H6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35 Years 8 Months 14 Days</v>
      </c>
      <c r="J6" s="97"/>
      <c r="K6" s="97"/>
      <c r="L6" s="97"/>
      <c r="M6" s="97"/>
      <c r="N6" s="97"/>
    </row>
    <row r="7" spans="5:14" ht="14.25" customHeight="1">
      <c r="E7" s="3" t="s">
        <v>23</v>
      </c>
      <c r="F7" s="3">
        <v>115</v>
      </c>
      <c r="G7" s="3" t="s">
        <v>18</v>
      </c>
      <c r="H7" s="4">
        <v>37111</v>
      </c>
      <c r="I7" s="97" t="str" cm="1">
        <f t="array" aca="1" ref="I7" ca="1">_xlfn.LET(_xlpm.d,H7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25 Years 2 Months 14 Days</v>
      </c>
      <c r="J7" s="97"/>
      <c r="K7" s="97"/>
      <c r="L7" s="97"/>
      <c r="M7" s="97"/>
      <c r="N7" s="97"/>
    </row>
    <row r="8" spans="5:14" ht="14.25" customHeight="1">
      <c r="E8" s="3" t="s">
        <v>24</v>
      </c>
      <c r="F8" s="3">
        <v>116</v>
      </c>
      <c r="G8" s="3" t="s">
        <v>18</v>
      </c>
      <c r="H8" s="4">
        <v>35151</v>
      </c>
      <c r="I8" s="97" t="str" cm="1">
        <f t="array" aca="1" ref="I8" ca="1">_xlfn.LET(_xlpm.d,H8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30 Years 6 Months 14 Days</v>
      </c>
      <c r="J8" s="97"/>
      <c r="K8" s="97"/>
      <c r="L8" s="97"/>
      <c r="M8" s="97"/>
      <c r="N8" s="97"/>
    </row>
    <row r="9" spans="5:14" ht="14.25" customHeight="1">
      <c r="E9" s="3" t="s">
        <v>26</v>
      </c>
      <c r="F9" s="3">
        <v>117</v>
      </c>
      <c r="G9" s="3" t="s">
        <v>14</v>
      </c>
      <c r="H9" s="4">
        <v>36885</v>
      </c>
      <c r="I9" s="97" t="str" cm="1">
        <f t="array" aca="1" ref="I9" ca="1">_xlfn.LET(_xlpm.d,H9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25 Years 9 Months 14 Days</v>
      </c>
      <c r="J9" s="97"/>
      <c r="K9" s="97"/>
      <c r="L9" s="97"/>
      <c r="M9" s="97"/>
      <c r="N9" s="97"/>
    </row>
    <row r="10" spans="5:14" ht="14.25" customHeight="1">
      <c r="E10" s="3" t="s">
        <v>28</v>
      </c>
      <c r="F10" s="3">
        <v>118</v>
      </c>
      <c r="G10" s="3" t="s">
        <v>14</v>
      </c>
      <c r="H10" s="4">
        <v>34319</v>
      </c>
      <c r="I10" s="97" t="str" cm="1">
        <f t="array" aca="1" ref="I10" ca="1">_xlfn.LET(_xlpm.d,H10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32 Years 9 Months 14 Days</v>
      </c>
      <c r="J10" s="97"/>
      <c r="K10" s="97"/>
      <c r="L10" s="97"/>
      <c r="M10" s="97"/>
      <c r="N10" s="97"/>
    </row>
    <row r="11" spans="5:14" ht="14.25" customHeight="1">
      <c r="E11" s="3" t="s">
        <v>30</v>
      </c>
      <c r="F11" s="3">
        <v>119</v>
      </c>
      <c r="G11" s="3" t="s">
        <v>18</v>
      </c>
      <c r="H11" s="4">
        <v>36250</v>
      </c>
      <c r="I11" s="97" t="str" cm="1">
        <f t="array" aca="1" ref="I11" ca="1">_xlfn.LET(_xlpm.d,H11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27 Years 6 Months 14 Days</v>
      </c>
      <c r="J11" s="97"/>
      <c r="K11" s="97"/>
      <c r="L11" s="97"/>
      <c r="M11" s="97"/>
      <c r="N11" s="97"/>
    </row>
    <row r="12" spans="5:14" ht="14.25" customHeight="1">
      <c r="E12" s="3" t="s">
        <v>31</v>
      </c>
      <c r="F12" s="3">
        <v>110</v>
      </c>
      <c r="G12" s="3" t="s">
        <v>14</v>
      </c>
      <c r="H12" s="4">
        <v>36109</v>
      </c>
      <c r="I12" s="97" t="str" cm="1">
        <f t="array" aca="1" ref="I12" ca="1">_xlfn.LET(_xlpm.d,H12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27 Years 11 Months 14 Days</v>
      </c>
      <c r="J12" s="97"/>
      <c r="K12" s="97"/>
      <c r="L12" s="97"/>
      <c r="M12" s="97"/>
      <c r="N12" s="97"/>
    </row>
    <row r="13" spans="5:14" ht="14.25" customHeight="1">
      <c r="E13" s="3" t="s">
        <v>33</v>
      </c>
      <c r="F13" s="3">
        <v>111</v>
      </c>
      <c r="G13" s="3" t="s">
        <v>18</v>
      </c>
      <c r="H13" s="4">
        <v>34701</v>
      </c>
      <c r="I13" s="97" t="str" cm="1">
        <f t="array" aca="1" ref="I13" ca="1">_xlfn.LET(_xlpm.d,H13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31 Years 9 Months 14 Days</v>
      </c>
      <c r="J13" s="97"/>
      <c r="K13" s="97"/>
      <c r="L13" s="97"/>
      <c r="M13" s="97"/>
      <c r="N13" s="97"/>
    </row>
    <row r="14" spans="5:14" ht="14.25" customHeight="1">
      <c r="E14" s="3" t="s">
        <v>34</v>
      </c>
      <c r="F14" s="3">
        <v>112</v>
      </c>
      <c r="G14" s="3" t="s">
        <v>14</v>
      </c>
      <c r="H14" s="4">
        <v>35642</v>
      </c>
      <c r="I14" s="97" t="str" cm="1">
        <f t="array" aca="1" ref="I14" ca="1">_xlfn.LET(_xlpm.d,H14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29 Years 2 Months 14 Days</v>
      </c>
      <c r="J14" s="97"/>
      <c r="K14" s="97"/>
      <c r="L14" s="97"/>
      <c r="M14" s="97"/>
      <c r="N14" s="97"/>
    </row>
    <row r="15" spans="5:14" ht="14.25" customHeight="1">
      <c r="E15" s="3" t="s">
        <v>35</v>
      </c>
      <c r="F15" s="3">
        <v>113</v>
      </c>
      <c r="G15" s="3" t="s">
        <v>14</v>
      </c>
      <c r="H15" s="4">
        <v>35710</v>
      </c>
      <c r="I15" s="97" t="str" cm="1">
        <f t="array" aca="1" ref="I15" ca="1">_xlfn.LET(_xlpm.d,H15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29 Years 0 Months 14 Days</v>
      </c>
      <c r="J15" s="97"/>
      <c r="K15" s="97"/>
      <c r="L15" s="97"/>
      <c r="M15" s="97"/>
      <c r="N15" s="97"/>
    </row>
    <row r="16" spans="5:14" ht="14.25" customHeight="1">
      <c r="E16" s="3" t="s">
        <v>36</v>
      </c>
      <c r="F16" s="3">
        <v>114</v>
      </c>
      <c r="G16" s="3" t="s">
        <v>18</v>
      </c>
      <c r="H16" s="4">
        <v>37121</v>
      </c>
      <c r="I16" s="97" t="str" cm="1">
        <f t="array" aca="1" ref="I16" ca="1">_xlfn.LET(_xlpm.d,H16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25 Years 1 Months 14 Days</v>
      </c>
      <c r="J16" s="97"/>
      <c r="K16" s="97"/>
      <c r="L16" s="97"/>
      <c r="M16" s="97"/>
      <c r="N16" s="97"/>
    </row>
    <row r="17" spans="5:9" ht="14.25" customHeight="1">
      <c r="E17" s="3" t="s">
        <v>37</v>
      </c>
      <c r="F17" s="3">
        <v>115</v>
      </c>
      <c r="G17" s="3" t="s">
        <v>18</v>
      </c>
      <c r="H17" s="4">
        <v>35440</v>
      </c>
      <c r="I17" s="97" t="str" cm="1">
        <f t="array" aca="1" ref="I17" ca="1">_xlfn.LET(_xlpm.d,H17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29 Years 9 Months 14 Days</v>
      </c>
    </row>
    <row r="18" spans="5:9" ht="14.25" customHeight="1">
      <c r="E18" s="3" t="s">
        <v>38</v>
      </c>
      <c r="F18" s="3">
        <v>116</v>
      </c>
      <c r="G18" s="3" t="s">
        <v>14</v>
      </c>
      <c r="H18" s="4">
        <v>35105</v>
      </c>
      <c r="I18" s="97" t="str" cm="1">
        <f t="array" aca="1" ref="I18" ca="1">_xlfn.LET(_xlpm.d,H18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30 Years 8 Months 14 Days</v>
      </c>
    </row>
    <row r="19" spans="5:9" ht="14.25" customHeight="1">
      <c r="E19" s="3" t="s">
        <v>39</v>
      </c>
      <c r="F19" s="3">
        <v>117</v>
      </c>
      <c r="G19" s="3" t="s">
        <v>14</v>
      </c>
      <c r="H19" s="4">
        <v>35649</v>
      </c>
      <c r="I19" s="97" t="str" cm="1">
        <f t="array" aca="1" ref="I19" ca="1">_xlfn.LET(_xlpm.d,H19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29 Years 2 Months 14 Days</v>
      </c>
    </row>
    <row r="20" spans="5:9" ht="14.25" customHeight="1">
      <c r="E20" s="3" t="s">
        <v>40</v>
      </c>
      <c r="F20" s="3">
        <v>118</v>
      </c>
      <c r="G20" s="3" t="s">
        <v>14</v>
      </c>
      <c r="H20" s="4">
        <v>35946</v>
      </c>
      <c r="I20" s="97" t="str" cm="1">
        <f t="array" aca="1" ref="I20" ca="1">_xlfn.LET(_xlpm.d,H20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28 Years 4 Months 14 Days</v>
      </c>
    </row>
    <row r="21" spans="5:9" ht="14.25" customHeight="1">
      <c r="E21" s="3" t="s">
        <v>41</v>
      </c>
      <c r="F21" s="3">
        <v>119</v>
      </c>
      <c r="G21" s="3" t="s">
        <v>18</v>
      </c>
      <c r="H21" s="4">
        <v>35239</v>
      </c>
      <c r="I21" s="97" t="str" cm="1">
        <f t="array" aca="1" ref="I21" ca="1">_xlfn.LET(_xlpm.d,H21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30 Years 3 Months 14 Days</v>
      </c>
    </row>
    <row r="22" spans="5:9" ht="14.25" customHeight="1">
      <c r="E22" s="3" t="s">
        <v>42</v>
      </c>
      <c r="F22" s="3">
        <v>120</v>
      </c>
      <c r="G22" s="3" t="s">
        <v>18</v>
      </c>
      <c r="H22" s="4">
        <v>33573</v>
      </c>
      <c r="I22" s="97" t="str" cm="1">
        <f t="array" aca="1" ref="I22" ca="1">_xlfn.LET(_xlpm.d,H22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34 Years 10 Months 14 Days</v>
      </c>
    </row>
    <row r="23" spans="5:9" ht="14.25" customHeight="1">
      <c r="E23" s="3" t="s">
        <v>43</v>
      </c>
      <c r="F23" s="3">
        <v>121</v>
      </c>
      <c r="G23" s="3" t="s">
        <v>18</v>
      </c>
      <c r="H23" s="4">
        <v>36573</v>
      </c>
      <c r="I23" s="97" t="str" cm="1">
        <f t="array" aca="1" ref="I23" ca="1">_xlfn.LET(_xlpm.d,H23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26 Years 7 Months 14 Days</v>
      </c>
    </row>
    <row r="24" spans="5:9" ht="14.25" customHeight="1">
      <c r="E24" s="3" t="s">
        <v>44</v>
      </c>
      <c r="F24" s="3">
        <v>112</v>
      </c>
      <c r="G24" s="3" t="s">
        <v>14</v>
      </c>
      <c r="H24" s="4">
        <v>37047</v>
      </c>
      <c r="I24" s="97" t="str" cm="1">
        <f t="array" aca="1" ref="I24" ca="1">_xlfn.LET(_xlpm.d,H24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25 Years 4 Months 14 Days</v>
      </c>
    </row>
    <row r="25" spans="5:9" ht="14.25" customHeight="1">
      <c r="E25" s="3" t="s">
        <v>45</v>
      </c>
      <c r="F25" s="3">
        <v>113</v>
      </c>
      <c r="G25" s="3" t="s">
        <v>14</v>
      </c>
      <c r="H25" s="4">
        <v>37089</v>
      </c>
      <c r="I25" s="97" t="str" cm="1">
        <f t="array" aca="1" ref="I25" ca="1">_xlfn.LET(_xlpm.d,H25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25 Years 2 Months 14 Days</v>
      </c>
    </row>
    <row r="26" spans="5:9" ht="14.25" customHeight="1">
      <c r="E26" s="3" t="s">
        <v>46</v>
      </c>
      <c r="F26" s="3">
        <v>114</v>
      </c>
      <c r="G26" s="3" t="s">
        <v>18</v>
      </c>
      <c r="H26" s="4">
        <v>33699</v>
      </c>
      <c r="I26" s="97" t="str" cm="1">
        <f t="array" aca="1" ref="I26" ca="1">_xlfn.LET(_xlpm.d,H26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34 Years 6 Months 14 Days</v>
      </c>
    </row>
    <row r="27" spans="5:9" ht="14.25" customHeight="1">
      <c r="E27" s="3" t="s">
        <v>47</v>
      </c>
      <c r="F27" s="3">
        <v>115</v>
      </c>
      <c r="G27" s="3" t="s">
        <v>18</v>
      </c>
      <c r="H27" s="4">
        <v>35431</v>
      </c>
      <c r="I27" s="97" t="str" cm="1">
        <f t="array" aca="1" ref="I27" ca="1">_xlfn.LET(_xlpm.d,H27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29 Years 9 Months 14 Days</v>
      </c>
    </row>
    <row r="28" spans="5:9" ht="14.25" customHeight="1">
      <c r="E28" s="3" t="s">
        <v>48</v>
      </c>
      <c r="F28" s="3">
        <v>116</v>
      </c>
      <c r="G28" s="3" t="s">
        <v>18</v>
      </c>
      <c r="H28" s="4">
        <v>37062</v>
      </c>
      <c r="I28" s="97" t="str" cm="1">
        <f t="array" aca="1" ref="I28" ca="1">_xlfn.LET(_xlpm.d,H28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25 Years 3 Months 14 Days</v>
      </c>
    </row>
    <row r="29" spans="5:9" ht="14.25" customHeight="1">
      <c r="E29" s="3" t="s">
        <v>49</v>
      </c>
      <c r="F29" s="3">
        <v>117</v>
      </c>
      <c r="G29" s="3" t="s">
        <v>18</v>
      </c>
      <c r="H29" s="4">
        <v>33962</v>
      </c>
      <c r="I29" s="97" t="str" cm="1">
        <f t="array" aca="1" ref="I29" ca="1">_xlfn.LET(_xlpm.d,H29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33 Years 9 Months 14 Days</v>
      </c>
    </row>
    <row r="30" spans="5:9" ht="14.25" customHeight="1">
      <c r="E30" s="3" t="s">
        <v>50</v>
      </c>
      <c r="F30" s="3">
        <v>118</v>
      </c>
      <c r="G30" s="3" t="s">
        <v>14</v>
      </c>
      <c r="H30" s="4">
        <v>36619</v>
      </c>
      <c r="I30" s="97" t="str" cm="1">
        <f t="array" aca="1" ref="I30" ca="1">_xlfn.LET(_xlpm.d,H30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26 Years 6 Months 14 Days</v>
      </c>
    </row>
    <row r="31" spans="5:9" ht="14.25" customHeight="1">
      <c r="E31" s="3" t="s">
        <v>51</v>
      </c>
      <c r="F31" s="3">
        <v>119</v>
      </c>
      <c r="G31" s="3" t="s">
        <v>14</v>
      </c>
      <c r="H31" s="4">
        <v>35339</v>
      </c>
      <c r="I31" s="97" t="str" cm="1">
        <f t="array" aca="1" ref="I31" ca="1">_xlfn.LET(_xlpm.d,H31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30 Years 0 Months 14 Days</v>
      </c>
    </row>
    <row r="32" spans="5:9" ht="14.25" customHeight="1">
      <c r="E32" s="3" t="s">
        <v>52</v>
      </c>
      <c r="F32" s="3">
        <v>110</v>
      </c>
      <c r="G32" s="3" t="s">
        <v>14</v>
      </c>
      <c r="H32" s="4">
        <v>34578</v>
      </c>
      <c r="I32" s="97" t="str" cm="1">
        <f t="array" aca="1" ref="I32" ca="1">_xlfn.LET(_xlpm.d,H32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32 Years 1 Months 14 Days</v>
      </c>
    </row>
    <row r="33" spans="5:9" ht="14.25" customHeight="1">
      <c r="E33" s="3" t="s">
        <v>53</v>
      </c>
      <c r="F33" s="3">
        <v>111</v>
      </c>
      <c r="G33" s="3" t="s">
        <v>14</v>
      </c>
      <c r="H33" s="4">
        <v>34635</v>
      </c>
      <c r="I33" s="97" t="str" cm="1">
        <f t="array" aca="1" ref="I33" ca="1">_xlfn.LET(_xlpm.d,H33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31 Years 11 Months 14 Days</v>
      </c>
    </row>
    <row r="34" spans="5:9" ht="14.25" customHeight="1">
      <c r="E34" s="3" t="s">
        <v>54</v>
      </c>
      <c r="F34" s="3">
        <v>112</v>
      </c>
      <c r="G34" s="3" t="s">
        <v>18</v>
      </c>
      <c r="H34" s="4">
        <v>37176</v>
      </c>
      <c r="I34" s="97" t="str" cm="1">
        <f t="array" aca="1" ref="I34" ca="1">_xlfn.LET(_xlpm.d,H34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25 Years 0 Months 14 Days</v>
      </c>
    </row>
    <row r="35" spans="5:9" ht="14.25" customHeight="1">
      <c r="E35" s="3" t="s">
        <v>55</v>
      </c>
      <c r="F35" s="3">
        <v>113</v>
      </c>
      <c r="G35" s="3" t="s">
        <v>14</v>
      </c>
      <c r="H35" s="4">
        <v>36068</v>
      </c>
      <c r="I35" s="97" t="str" cm="1">
        <f t="array" aca="1" ref="I35" ca="1">_xlfn.LET(_xlpm.d,H35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28 Years 0 Months 14 Days</v>
      </c>
    </row>
    <row r="36" spans="5:9" ht="14.25" customHeight="1">
      <c r="E36" s="3" t="s">
        <v>56</v>
      </c>
      <c r="F36" s="3">
        <v>114</v>
      </c>
      <c r="G36" s="3" t="s">
        <v>14</v>
      </c>
      <c r="H36" s="4">
        <v>34912</v>
      </c>
      <c r="I36" s="97" t="str" cm="1">
        <f t="array" aca="1" ref="I36" ca="1">_xlfn.LET(_xlpm.d,H36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31 Years 2 Months 14 Days</v>
      </c>
    </row>
    <row r="37" spans="5:9" ht="14.25" customHeight="1">
      <c r="E37" s="3" t="s">
        <v>57</v>
      </c>
      <c r="F37" s="3">
        <v>115</v>
      </c>
      <c r="G37" s="3" t="s">
        <v>14</v>
      </c>
      <c r="H37" s="4">
        <v>36437</v>
      </c>
      <c r="I37" s="97" t="str" cm="1">
        <f t="array" aca="1" ref="I37" ca="1">_xlfn.LET(_xlpm.d,H37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27 Years 0 Months 14 Days</v>
      </c>
    </row>
    <row r="38" spans="5:9" ht="14.25" customHeight="1">
      <c r="E38" s="3" t="s">
        <v>58</v>
      </c>
      <c r="F38" s="3">
        <v>116</v>
      </c>
      <c r="G38" s="3" t="s">
        <v>18</v>
      </c>
      <c r="H38" s="4">
        <v>33535</v>
      </c>
      <c r="I38" s="97" t="str" cm="1">
        <f t="array" aca="1" ref="I38" ca="1">_xlfn.LET(_xlpm.d,H38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34 Years 11 Months 14 Days</v>
      </c>
    </row>
    <row r="39" spans="5:9" ht="14.25" customHeight="1">
      <c r="E39" s="3" t="s">
        <v>59</v>
      </c>
      <c r="F39" s="3">
        <v>117</v>
      </c>
      <c r="G39" s="3" t="s">
        <v>18</v>
      </c>
      <c r="H39" s="4">
        <v>35077</v>
      </c>
      <c r="I39" s="97" t="str" cm="1">
        <f t="array" aca="1" ref="I39" ca="1">_xlfn.LET(_xlpm.d,H39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30 Years 9 Months 14 Days</v>
      </c>
    </row>
    <row r="40" spans="5:9" ht="14.25" customHeight="1">
      <c r="E40" s="3" t="s">
        <v>60</v>
      </c>
      <c r="F40" s="3">
        <v>118</v>
      </c>
      <c r="G40" s="3" t="s">
        <v>14</v>
      </c>
      <c r="H40" s="4">
        <v>33690</v>
      </c>
      <c r="I40" s="97" t="str" cm="1">
        <f t="array" aca="1" ref="I40" ca="1">_xlfn.LET(_xlpm.d,H40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34 Years 6 Months 14 Days</v>
      </c>
    </row>
    <row r="41" spans="5:9" ht="14.25" customHeight="1">
      <c r="E41" s="3" t="s">
        <v>61</v>
      </c>
      <c r="F41" s="3">
        <v>119</v>
      </c>
      <c r="G41" s="3" t="s">
        <v>14</v>
      </c>
      <c r="H41" s="4">
        <v>33880</v>
      </c>
      <c r="I41" s="97" t="str" cm="1">
        <f t="array" aca="1" ref="I41" ca="1">_xlfn.LET(_xlpm.d,H41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34 Years 0 Months 14 Days</v>
      </c>
    </row>
    <row r="42" spans="5:9" ht="14.25" customHeight="1">
      <c r="E42" s="3" t="s">
        <v>62</v>
      </c>
      <c r="F42" s="3">
        <v>120</v>
      </c>
      <c r="G42" s="3" t="s">
        <v>18</v>
      </c>
      <c r="H42" s="4">
        <v>33960</v>
      </c>
      <c r="I42" s="97" t="str" cm="1">
        <f t="array" aca="1" ref="I42" ca="1">_xlfn.LET(_xlpm.d,H42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33 Years 9 Months 14 Days</v>
      </c>
    </row>
    <row r="43" spans="5:9" ht="14.25" customHeight="1">
      <c r="E43" s="3" t="s">
        <v>63</v>
      </c>
      <c r="F43" s="3">
        <v>121</v>
      </c>
      <c r="G43" s="3" t="s">
        <v>14</v>
      </c>
      <c r="H43" s="4">
        <v>35680</v>
      </c>
      <c r="I43" s="97" t="str" cm="1">
        <f t="array" aca="1" ref="I43" ca="1">_xlfn.LET(_xlpm.d,H43,_xlpm.t,TODAY(),_xlpm.y,YEAR(_xlpm.t)-YEAR(_xlpm.d)-IF(DATE(YEAR(_xlpm.t),MONTH(_xlpm.d),DAY(_xlpm.d))&gt;_xlpm.t,1,0),_xlpm.m,MOD(MONTH(_xlpm.t)-MONTH(_xlpm.d)-IF(DAY(_xlpm.t)&lt;DAY(_xlpm.d),1,0),12),_xlpm.dd,_xlpm.t-DATE(YEAR(_xlpm.t),MONTH(_xlpm.t),1)+DAY(EOMONTH(_xlpm.t,-1))-DAY(_xlpm.d),_xlpm.y&amp;" Years "&amp;_xlpm.m&amp;" Months "&amp;DAY(_xlpm.t)&amp;" Days")</f>
        <v>29 Years 1 Months 14 Days</v>
      </c>
    </row>
    <row r="44" spans="5:9" ht="14.25" customHeight="1">
      <c r="E44" s="97"/>
      <c r="F44" s="97"/>
      <c r="G44" s="97"/>
      <c r="H44" s="97"/>
      <c r="I44" s="97"/>
    </row>
    <row r="45" spans="5:9" ht="14.25" customHeight="1">
      <c r="E45" s="97"/>
      <c r="F45" s="97"/>
      <c r="G45" s="97"/>
      <c r="H45" s="97"/>
      <c r="I45" s="97"/>
    </row>
    <row r="46" spans="5:9" ht="14.25" customHeight="1">
      <c r="E46" s="97"/>
      <c r="F46" s="97"/>
      <c r="G46" s="97"/>
      <c r="H46" s="97"/>
      <c r="I46" s="97"/>
    </row>
    <row r="47" spans="5:9" ht="14.25" customHeight="1">
      <c r="E47" s="97"/>
      <c r="F47" s="97"/>
      <c r="G47" s="97"/>
      <c r="H47" s="97"/>
      <c r="I47" s="97"/>
    </row>
    <row r="48" spans="5:9" ht="14.25" customHeight="1">
      <c r="E48" s="97"/>
      <c r="F48" s="97"/>
      <c r="G48" s="97"/>
      <c r="H48" s="97"/>
      <c r="I48" s="9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1:H1"/>
    <mergeCell ref="K3:N3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0"/>
  <sheetViews>
    <sheetView showGridLines="0" workbookViewId="0">
      <selection activeCell="M15" sqref="M15"/>
    </sheetView>
  </sheetViews>
  <sheetFormatPr defaultColWidth="14.42578125" defaultRowHeight="15" customHeight="1"/>
  <cols>
    <col min="1" max="1" width="14.28515625" customWidth="1"/>
    <col min="2" max="2" width="21.85546875" customWidth="1"/>
    <col min="3" max="3" width="20" customWidth="1"/>
    <col min="4" max="4" width="8.7109375" customWidth="1"/>
    <col min="5" max="5" width="25.140625" customWidth="1"/>
    <col min="6" max="6" width="17.28515625" customWidth="1"/>
    <col min="7" max="7" width="23.28515625" bestFit="1" customWidth="1"/>
    <col min="8" max="26" width="8.7109375" customWidth="1"/>
  </cols>
  <sheetData>
    <row r="1" spans="1:8" ht="14.25" customHeight="1">
      <c r="A1" s="113" t="s">
        <v>348</v>
      </c>
      <c r="B1" s="100"/>
      <c r="C1" s="100"/>
      <c r="D1" s="100"/>
      <c r="E1" s="100"/>
      <c r="F1" s="100"/>
      <c r="G1" s="97"/>
      <c r="H1" s="97"/>
    </row>
    <row r="2" spans="1:8" ht="14.25" customHeight="1">
      <c r="A2" s="97"/>
      <c r="B2" s="97"/>
      <c r="C2" s="97"/>
      <c r="D2" s="97"/>
      <c r="E2" s="97"/>
      <c r="F2" s="97"/>
      <c r="G2" s="97"/>
      <c r="H2" s="97"/>
    </row>
    <row r="3" spans="1:8" ht="14.25" customHeight="1">
      <c r="A3" s="108" t="s">
        <v>276</v>
      </c>
      <c r="B3" s="106"/>
      <c r="C3" s="106"/>
      <c r="D3" s="83"/>
      <c r="E3" s="108" t="s">
        <v>277</v>
      </c>
      <c r="F3" s="106"/>
      <c r="G3" s="106"/>
      <c r="H3" s="97"/>
    </row>
    <row r="4" spans="1:8" ht="14.25" customHeight="1">
      <c r="A4" s="40" t="s">
        <v>242</v>
      </c>
      <c r="B4" s="41" t="s">
        <v>123</v>
      </c>
      <c r="C4" s="41" t="s">
        <v>126</v>
      </c>
      <c r="D4" s="97"/>
      <c r="E4" s="95" t="s">
        <v>126</v>
      </c>
      <c r="F4" s="96" t="s">
        <v>242</v>
      </c>
      <c r="G4" s="95" t="s">
        <v>123</v>
      </c>
      <c r="H4" s="97"/>
    </row>
    <row r="5" spans="1:8" ht="14.25" customHeight="1">
      <c r="A5" s="22" t="s">
        <v>129</v>
      </c>
      <c r="B5" s="18" t="s">
        <v>130</v>
      </c>
      <c r="C5" s="18" t="s">
        <v>170</v>
      </c>
      <c r="D5" s="75"/>
      <c r="E5" s="37" t="s">
        <v>170</v>
      </c>
      <c r="F5" s="90" t="str" cm="1">
        <f t="array" ref="F5">INDEX(A5:A13,1,)</f>
        <v>Hardware</v>
      </c>
      <c r="G5" s="90" t="str">
        <f>INDEX(B5:B13,1)</f>
        <v>Damaged-Malfunctioned</v>
      </c>
      <c r="H5" s="75"/>
    </row>
    <row r="6" spans="1:8" ht="14.25" customHeight="1">
      <c r="A6" s="22" t="s">
        <v>129</v>
      </c>
      <c r="B6" s="18" t="s">
        <v>132</v>
      </c>
      <c r="C6" s="18" t="s">
        <v>245</v>
      </c>
      <c r="D6" s="75"/>
      <c r="E6" s="37" t="s">
        <v>245</v>
      </c>
      <c r="F6" s="90" t="str" cm="1">
        <f t="array" ref="F6">INDEX(A6:A14,1,)</f>
        <v>Hardware</v>
      </c>
      <c r="G6" s="90" t="str">
        <f t="shared" ref="G6:H6" si="0">INDEX(B6:B14,1)</f>
        <v>Complete System</v>
      </c>
      <c r="H6" s="75"/>
    </row>
    <row r="7" spans="1:8" ht="14.25" customHeight="1">
      <c r="A7" s="22" t="s">
        <v>129</v>
      </c>
      <c r="B7" s="18" t="s">
        <v>134</v>
      </c>
      <c r="C7" s="18" t="s">
        <v>147</v>
      </c>
      <c r="D7" s="75"/>
      <c r="E7" s="37" t="s">
        <v>147</v>
      </c>
      <c r="F7" s="90" t="str" cm="1">
        <f t="array" ref="F7">INDEX(A7:A15,1,)</f>
        <v>Hardware</v>
      </c>
      <c r="G7" s="90" t="str">
        <f t="shared" ref="G7:H7" si="1">INDEX(B7:B15,1)</f>
        <v>Usage</v>
      </c>
      <c r="H7" s="75"/>
    </row>
    <row r="8" spans="1:8" ht="14.25" customHeight="1">
      <c r="A8" s="22" t="s">
        <v>136</v>
      </c>
      <c r="B8" s="18" t="s">
        <v>137</v>
      </c>
      <c r="C8" s="18" t="s">
        <v>246</v>
      </c>
      <c r="D8" s="75"/>
      <c r="E8" s="37" t="s">
        <v>246</v>
      </c>
      <c r="F8" s="90" t="str" cm="1">
        <f t="array" ref="F8">INDEX(A8:A16,1,)</f>
        <v>Off the Shelf</v>
      </c>
      <c r="G8" s="90" t="str">
        <f t="shared" ref="G8:H8" si="2">INDEX(B8:B16,1)</f>
        <v>Windows 7</v>
      </c>
      <c r="H8" s="75"/>
    </row>
    <row r="9" spans="1:8" ht="14.25" customHeight="1">
      <c r="A9" s="22" t="s">
        <v>247</v>
      </c>
      <c r="B9" s="18" t="s">
        <v>139</v>
      </c>
      <c r="C9" s="18" t="s">
        <v>248</v>
      </c>
      <c r="D9" s="75"/>
      <c r="E9" s="37" t="s">
        <v>248</v>
      </c>
      <c r="F9" s="90" t="str" cm="1">
        <f t="array" ref="F9">INDEX(A9:A17,1,)</f>
        <v xml:space="preserve"> No Area Given </v>
      </c>
      <c r="G9" s="90" t="str">
        <f t="shared" ref="G9:H9" si="3">INDEX(B9:B17,1)</f>
        <v xml:space="preserve"> No Sub Area Given </v>
      </c>
      <c r="H9" s="75"/>
    </row>
    <row r="10" spans="1:8" ht="14.25" customHeight="1">
      <c r="A10" s="22" t="s">
        <v>141</v>
      </c>
      <c r="B10" s="18" t="s">
        <v>142</v>
      </c>
      <c r="C10" s="18" t="s">
        <v>249</v>
      </c>
      <c r="D10" s="75"/>
      <c r="E10" s="37" t="s">
        <v>249</v>
      </c>
      <c r="F10" s="90" t="str" cm="1">
        <f t="array" ref="F10">INDEX(A10:A18,1,)</f>
        <v>iPad - Hardware</v>
      </c>
      <c r="G10" s="90" t="str">
        <f t="shared" ref="G10:H10" si="4">INDEX(B10:B18,1)</f>
        <v>Lost/Stolen</v>
      </c>
      <c r="H10" s="75"/>
    </row>
    <row r="11" spans="1:8" ht="14.25" customHeight="1">
      <c r="A11" s="22" t="s">
        <v>143</v>
      </c>
      <c r="B11" s="18" t="s">
        <v>144</v>
      </c>
      <c r="C11" s="18" t="s">
        <v>250</v>
      </c>
      <c r="D11" s="75"/>
      <c r="E11" s="37" t="s">
        <v>250</v>
      </c>
      <c r="F11" s="90" t="str" cm="1">
        <f t="array" ref="F11">INDEX(A11:A19,1,)</f>
        <v>Veeva</v>
      </c>
      <c r="G11" s="90" t="str">
        <f t="shared" ref="G11:H11" si="5">INDEX(B11:B19,1)</f>
        <v>Calls</v>
      </c>
      <c r="H11" s="75"/>
    </row>
    <row r="12" spans="1:8" ht="14.25" customHeight="1">
      <c r="A12" s="22" t="s">
        <v>141</v>
      </c>
      <c r="B12" s="18" t="s">
        <v>146</v>
      </c>
      <c r="C12" s="18" t="s">
        <v>147</v>
      </c>
      <c r="D12" s="75"/>
      <c r="E12" s="37" t="s">
        <v>147</v>
      </c>
      <c r="F12" s="90" t="str" cm="1">
        <f t="array" ref="F12">INDEX(A12:A20,1,)</f>
        <v>iPad - Hardware</v>
      </c>
      <c r="G12" s="90" t="str">
        <f t="shared" ref="G12:H12" si="6">INDEX(B12:B20,1)</f>
        <v>Request</v>
      </c>
      <c r="H12" s="75"/>
    </row>
    <row r="13" spans="1:8" ht="14.25" customHeight="1">
      <c r="A13" s="46" t="s">
        <v>143</v>
      </c>
      <c r="B13" s="33" t="s">
        <v>144</v>
      </c>
      <c r="C13" s="33" t="s">
        <v>251</v>
      </c>
      <c r="D13" s="75"/>
      <c r="E13" s="37" t="s">
        <v>251</v>
      </c>
      <c r="F13" s="90" t="str" cm="1">
        <f t="array" ref="F13">INDEX(A13:A21,1,)</f>
        <v>Veeva</v>
      </c>
      <c r="G13" s="90" t="str">
        <f t="shared" ref="G13:H13" si="7">INDEX(B13:B21,1)</f>
        <v>Calls</v>
      </c>
      <c r="H13" s="75"/>
    </row>
    <row r="14" spans="1:8" ht="14.25" customHeight="1">
      <c r="A14" s="97"/>
      <c r="B14" s="97"/>
      <c r="C14" s="97"/>
      <c r="D14" s="97"/>
      <c r="E14" s="75"/>
      <c r="F14" s="75"/>
      <c r="G14" s="75"/>
      <c r="H14" s="97"/>
    </row>
    <row r="15" spans="1:8" ht="14.25" customHeight="1">
      <c r="A15" s="97"/>
      <c r="B15" s="97"/>
      <c r="C15" s="97"/>
      <c r="D15" s="97"/>
      <c r="E15" s="97"/>
      <c r="F15" s="97"/>
      <c r="G15" s="97"/>
      <c r="H15" s="97"/>
    </row>
    <row r="16" spans="1:8" ht="14.25" customHeight="1">
      <c r="A16" s="97"/>
      <c r="B16" s="97"/>
      <c r="C16" s="97"/>
      <c r="D16" s="97"/>
      <c r="E16" s="97"/>
      <c r="F16" s="97"/>
      <c r="G16" s="97"/>
      <c r="H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3:C3"/>
    <mergeCell ref="E3:G3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J1000"/>
  <sheetViews>
    <sheetView showGridLines="0" workbookViewId="0">
      <selection activeCell="L11" sqref="L11"/>
    </sheetView>
  </sheetViews>
  <sheetFormatPr defaultColWidth="14.42578125" defaultRowHeight="15" customHeight="1"/>
  <cols>
    <col min="1" max="26" width="8.7109375" customWidth="1"/>
  </cols>
  <sheetData>
    <row r="1" spans="2:10" ht="14.25" customHeight="1">
      <c r="B1" s="97"/>
      <c r="C1" s="97"/>
      <c r="D1" s="97"/>
      <c r="E1" s="97"/>
      <c r="F1" s="113" t="s">
        <v>349</v>
      </c>
      <c r="G1" s="100"/>
      <c r="H1" s="100"/>
      <c r="I1" s="100"/>
      <c r="J1" s="97"/>
    </row>
    <row r="2" spans="2:10" ht="14.25" customHeight="1">
      <c r="B2" s="59" t="s">
        <v>350</v>
      </c>
      <c r="C2" s="97"/>
      <c r="D2" s="97"/>
      <c r="E2" s="97"/>
      <c r="F2" s="97"/>
      <c r="G2" s="97"/>
      <c r="H2" s="97"/>
      <c r="I2" s="97"/>
      <c r="J2" s="97"/>
    </row>
    <row r="3" spans="2:10" ht="14.25" customHeight="1">
      <c r="B3" s="38">
        <v>29</v>
      </c>
      <c r="C3" s="97"/>
      <c r="D3" s="117" t="s">
        <v>351</v>
      </c>
      <c r="E3" s="100"/>
      <c r="F3" s="100"/>
      <c r="G3" s="97"/>
      <c r="H3" s="117" t="s">
        <v>352</v>
      </c>
      <c r="I3" s="100"/>
      <c r="J3" s="100"/>
    </row>
    <row r="4" spans="2:10" ht="14.25" customHeight="1">
      <c r="B4" s="38">
        <v>-3</v>
      </c>
      <c r="C4" s="97"/>
      <c r="D4" s="97"/>
      <c r="E4" s="38">
        <f>COUNTIF(B3:B15,"&gt;0")</f>
        <v>8</v>
      </c>
      <c r="F4" s="97"/>
      <c r="G4" s="97"/>
      <c r="H4" s="97"/>
      <c r="I4" s="3">
        <f>COUNTIF(B3:B15,"&lt;0")</f>
        <v>5</v>
      </c>
      <c r="J4" s="97"/>
    </row>
    <row r="5" spans="2:10" ht="14.25" customHeight="1">
      <c r="B5" s="38">
        <v>-44</v>
      </c>
      <c r="C5" s="97"/>
      <c r="D5" s="97"/>
      <c r="E5" s="97"/>
      <c r="F5" s="97"/>
      <c r="G5" s="97"/>
      <c r="H5" s="97"/>
      <c r="I5" s="97"/>
      <c r="J5" s="97"/>
    </row>
    <row r="6" spans="2:10" ht="14.25" customHeight="1">
      <c r="B6" s="38">
        <v>23</v>
      </c>
      <c r="C6" s="97"/>
      <c r="D6" s="97"/>
      <c r="E6" s="97"/>
      <c r="F6" s="97"/>
      <c r="G6" s="97"/>
      <c r="H6" s="97"/>
      <c r="I6" s="97"/>
      <c r="J6" s="97"/>
    </row>
    <row r="7" spans="2:10" ht="14.25" customHeight="1">
      <c r="B7" s="38">
        <v>8</v>
      </c>
      <c r="C7" s="97"/>
      <c r="D7" s="97"/>
      <c r="E7" s="97"/>
      <c r="F7" s="97"/>
      <c r="G7" s="97"/>
      <c r="H7" s="97"/>
      <c r="I7" s="97"/>
      <c r="J7" s="97"/>
    </row>
    <row r="8" spans="2:10" ht="14.25" customHeight="1">
      <c r="B8" s="38">
        <v>1</v>
      </c>
      <c r="C8" s="97"/>
      <c r="D8" s="97"/>
      <c r="E8" s="97"/>
      <c r="F8" s="97"/>
      <c r="G8" s="97"/>
      <c r="H8" s="97"/>
      <c r="I8" s="97"/>
      <c r="J8" s="97"/>
    </row>
    <row r="9" spans="2:10" ht="14.25" customHeight="1">
      <c r="B9" s="38">
        <v>-6</v>
      </c>
      <c r="C9" s="97"/>
      <c r="D9" s="97"/>
      <c r="E9" s="97"/>
      <c r="F9" s="97"/>
      <c r="G9" s="97"/>
      <c r="H9" s="97"/>
      <c r="I9" s="97"/>
      <c r="J9" s="97"/>
    </row>
    <row r="10" spans="2:10" ht="14.25" customHeight="1">
      <c r="B10" s="38">
        <v>6</v>
      </c>
      <c r="C10" s="97"/>
      <c r="D10" s="97"/>
      <c r="E10" s="97"/>
      <c r="F10" s="97"/>
      <c r="G10" s="97"/>
      <c r="H10" s="97"/>
      <c r="I10" s="97"/>
      <c r="J10" s="97"/>
    </row>
    <row r="11" spans="2:10" ht="14.25" customHeight="1">
      <c r="B11" s="38">
        <v>-2</v>
      </c>
      <c r="C11" s="97"/>
      <c r="D11" s="97"/>
      <c r="E11" s="97"/>
      <c r="F11" s="97"/>
      <c r="G11" s="97"/>
      <c r="H11" s="97"/>
      <c r="I11" s="97"/>
      <c r="J11" s="97"/>
    </row>
    <row r="12" spans="2:10" ht="14.25" customHeight="1">
      <c r="B12" s="38">
        <v>5</v>
      </c>
      <c r="C12" s="97"/>
      <c r="D12" s="97"/>
      <c r="E12" s="97"/>
      <c r="F12" s="97"/>
      <c r="G12" s="97"/>
      <c r="H12" s="97"/>
      <c r="I12" s="97"/>
      <c r="J12" s="97"/>
    </row>
    <row r="13" spans="2:10" ht="14.25" customHeight="1">
      <c r="B13" s="38">
        <v>22</v>
      </c>
      <c r="C13" s="97"/>
      <c r="D13" s="97"/>
      <c r="E13" s="97"/>
      <c r="F13" s="97"/>
      <c r="G13" s="97"/>
      <c r="H13" s="97"/>
      <c r="I13" s="97"/>
      <c r="J13" s="97"/>
    </row>
    <row r="14" spans="2:10" ht="14.25" customHeight="1">
      <c r="B14" s="38">
        <v>-222</v>
      </c>
      <c r="C14" s="97"/>
      <c r="D14" s="97"/>
      <c r="E14" s="97"/>
      <c r="F14" s="97"/>
      <c r="G14" s="97"/>
      <c r="H14" s="97"/>
      <c r="I14" s="97"/>
      <c r="J14" s="97"/>
    </row>
    <row r="15" spans="2:10" ht="14.25" customHeight="1">
      <c r="B15" s="38">
        <v>4</v>
      </c>
      <c r="C15" s="97"/>
      <c r="D15" s="97"/>
      <c r="E15" s="97"/>
      <c r="F15" s="97"/>
      <c r="G15" s="97"/>
      <c r="H15" s="97"/>
      <c r="I15" s="97"/>
      <c r="J15" s="97"/>
    </row>
    <row r="16" spans="2:10" ht="14.25" customHeight="1">
      <c r="B16" s="97"/>
      <c r="C16" s="97"/>
      <c r="D16" s="97"/>
      <c r="E16" s="97"/>
      <c r="F16" s="97"/>
      <c r="G16" s="97"/>
      <c r="H16" s="97"/>
      <c r="I16" s="97"/>
      <c r="J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F1:I1"/>
    <mergeCell ref="D3:F3"/>
    <mergeCell ref="H3:J3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O1000"/>
  <sheetViews>
    <sheetView topLeftCell="D1" workbookViewId="0">
      <selection activeCell="AI15" sqref="AI15"/>
    </sheetView>
  </sheetViews>
  <sheetFormatPr defaultColWidth="14.42578125" defaultRowHeight="15" customHeight="1"/>
  <cols>
    <col min="1" max="1" width="10.7109375" customWidth="1"/>
    <col min="2" max="2" width="4" bestFit="1" customWidth="1"/>
    <col min="3" max="3" width="14.28515625" customWidth="1"/>
    <col min="4" max="4" width="16.42578125" customWidth="1"/>
    <col min="5" max="5" width="9.140625" customWidth="1"/>
    <col min="6" max="7" width="8.7109375" customWidth="1"/>
    <col min="8" max="8" width="13.42578125" customWidth="1"/>
    <col min="9" max="9" width="16.28515625" customWidth="1"/>
    <col min="10" max="13" width="8.7109375" customWidth="1"/>
    <col min="14" max="14" width="15.85546875" customWidth="1"/>
    <col min="15" max="15" width="12.42578125" customWidth="1"/>
    <col min="16" max="17" width="2.28515625" customWidth="1"/>
    <col min="18" max="18" width="11.7109375" bestFit="1" customWidth="1"/>
    <col min="19" max="19" width="17.85546875" bestFit="1" customWidth="1"/>
    <col min="20" max="20" width="2.140625" customWidth="1"/>
    <col min="21" max="21" width="2.5703125" customWidth="1"/>
    <col min="22" max="22" width="2.42578125" customWidth="1"/>
    <col min="23" max="23" width="1.7109375" customWidth="1"/>
    <col min="24" max="24" width="1.85546875" customWidth="1"/>
    <col min="25" max="25" width="2.28515625" customWidth="1"/>
    <col min="26" max="26" width="2" customWidth="1"/>
    <col min="27" max="27" width="3" bestFit="1" customWidth="1"/>
    <col min="28" max="29" width="2.5703125" bestFit="1" customWidth="1"/>
    <col min="30" max="30" width="2.28515625" bestFit="1" customWidth="1"/>
    <col min="31" max="31" width="2.5703125" bestFit="1" customWidth="1"/>
    <col min="32" max="32" width="2.28515625" bestFit="1" customWidth="1"/>
    <col min="33" max="34" width="2.140625" bestFit="1" customWidth="1"/>
    <col min="35" max="35" width="2.5703125" bestFit="1" customWidth="1"/>
    <col min="36" max="36" width="2.42578125" bestFit="1" customWidth="1"/>
    <col min="37" max="37" width="11.7109375" bestFit="1" customWidth="1"/>
  </cols>
  <sheetData>
    <row r="1" spans="1:41" ht="14.25" customHeight="1">
      <c r="A1" s="118" t="s">
        <v>350</v>
      </c>
      <c r="B1" s="100"/>
      <c r="C1" s="100"/>
      <c r="D1" s="100"/>
      <c r="E1" s="100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</row>
    <row r="2" spans="1:41" ht="14.25" customHeight="1">
      <c r="A2" s="60" t="s">
        <v>353</v>
      </c>
      <c r="B2" s="60" t="s">
        <v>354</v>
      </c>
      <c r="C2" s="60" t="s">
        <v>355</v>
      </c>
      <c r="D2" s="60" t="s">
        <v>356</v>
      </c>
      <c r="E2" s="60" t="s">
        <v>357</v>
      </c>
      <c r="F2" s="97"/>
      <c r="G2" s="97"/>
      <c r="H2" s="61" t="s">
        <v>358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</row>
    <row r="3" spans="1:41" ht="14.25" customHeight="1">
      <c r="A3" s="62">
        <v>5</v>
      </c>
      <c r="B3" s="62" t="s">
        <v>359</v>
      </c>
      <c r="C3" s="63">
        <v>40611</v>
      </c>
      <c r="D3" s="63">
        <v>28042</v>
      </c>
      <c r="E3" s="63">
        <f t="shared" ref="E3:E24" si="0">C3-D3</f>
        <v>12569</v>
      </c>
      <c r="F3" s="97"/>
      <c r="G3" s="97"/>
      <c r="H3" s="30" t="s">
        <v>360</v>
      </c>
      <c r="I3" s="64">
        <f>SUM(C3:C24)</f>
        <v>1062536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</row>
    <row r="4" spans="1:41" ht="14.25" customHeight="1">
      <c r="A4" s="62">
        <v>4</v>
      </c>
      <c r="B4" s="62" t="s">
        <v>361</v>
      </c>
      <c r="C4" s="63">
        <v>77887</v>
      </c>
      <c r="D4" s="63">
        <v>3956</v>
      </c>
      <c r="E4" s="63">
        <f t="shared" si="0"/>
        <v>73931</v>
      </c>
      <c r="F4" s="97"/>
      <c r="G4" s="97"/>
      <c r="H4" s="30" t="s">
        <v>362</v>
      </c>
      <c r="I4" s="64">
        <f>SUM(D3:D24)</f>
        <v>960856</v>
      </c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</row>
    <row r="5" spans="1:41" ht="14.25" customHeight="1">
      <c r="A5" s="62">
        <v>1</v>
      </c>
      <c r="B5" s="62" t="s">
        <v>363</v>
      </c>
      <c r="C5" s="63">
        <v>14399</v>
      </c>
      <c r="D5" s="63">
        <v>81411</v>
      </c>
      <c r="E5" s="63">
        <f t="shared" si="0"/>
        <v>-67012</v>
      </c>
      <c r="F5" s="97"/>
      <c r="G5" s="97"/>
      <c r="H5" s="30" t="s">
        <v>364</v>
      </c>
      <c r="I5" s="64">
        <f>SUM(E3:E24)</f>
        <v>101680</v>
      </c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</row>
    <row r="6" spans="1:41" ht="14.25" customHeight="1">
      <c r="A6" s="62">
        <v>1</v>
      </c>
      <c r="B6" s="62" t="s">
        <v>365</v>
      </c>
      <c r="C6" s="63">
        <v>75347</v>
      </c>
      <c r="D6" s="63">
        <v>58745</v>
      </c>
      <c r="E6" s="63">
        <f t="shared" si="0"/>
        <v>16602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</row>
    <row r="7" spans="1:41" ht="14.25" customHeight="1">
      <c r="A7" s="62">
        <v>2</v>
      </c>
      <c r="B7" s="62" t="s">
        <v>366</v>
      </c>
      <c r="C7" s="63">
        <v>13225</v>
      </c>
      <c r="D7" s="63">
        <v>3747</v>
      </c>
      <c r="E7" s="63">
        <f t="shared" si="0"/>
        <v>9478</v>
      </c>
      <c r="F7" s="97"/>
      <c r="G7" s="97"/>
      <c r="H7" s="61" t="s">
        <v>367</v>
      </c>
      <c r="I7" s="97"/>
      <c r="J7" s="97"/>
      <c r="K7" s="97"/>
      <c r="L7" s="97"/>
      <c r="M7" s="97"/>
      <c r="N7" s="97"/>
      <c r="O7" s="97"/>
      <c r="P7" s="97"/>
      <c r="Q7" s="97"/>
      <c r="R7" s="86" t="s">
        <v>354</v>
      </c>
      <c r="S7" s="97" t="s">
        <v>368</v>
      </c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</row>
    <row r="8" spans="1:41" ht="14.25" customHeight="1">
      <c r="A8" s="62">
        <v>2</v>
      </c>
      <c r="B8" s="62" t="s">
        <v>369</v>
      </c>
      <c r="C8" s="63">
        <v>27953</v>
      </c>
      <c r="D8" s="63">
        <v>83580</v>
      </c>
      <c r="E8" s="63">
        <f t="shared" si="0"/>
        <v>-55627</v>
      </c>
      <c r="F8" s="97"/>
      <c r="G8" s="97"/>
      <c r="H8" s="65" t="s">
        <v>354</v>
      </c>
      <c r="I8" s="65" t="s">
        <v>370</v>
      </c>
      <c r="J8" s="97"/>
      <c r="K8" s="97"/>
      <c r="L8" s="97"/>
      <c r="M8" s="97"/>
      <c r="N8" s="97"/>
      <c r="O8" s="97"/>
      <c r="P8" s="97"/>
      <c r="Q8" s="97"/>
      <c r="R8" s="97" t="s">
        <v>371</v>
      </c>
      <c r="S8" s="130">
        <v>85176</v>
      </c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</row>
    <row r="9" spans="1:41" ht="14.25" customHeight="1">
      <c r="A9" s="62">
        <v>1</v>
      </c>
      <c r="B9" s="62" t="s">
        <v>372</v>
      </c>
      <c r="C9" s="63">
        <v>59032</v>
      </c>
      <c r="D9" s="63">
        <v>91810</v>
      </c>
      <c r="E9" s="63">
        <f t="shared" si="0"/>
        <v>-32778</v>
      </c>
      <c r="F9" s="97"/>
      <c r="G9" s="97"/>
      <c r="H9" s="97" t="s">
        <v>371</v>
      </c>
      <c r="I9" s="130">
        <v>85176</v>
      </c>
      <c r="J9" s="97"/>
      <c r="K9" s="97"/>
      <c r="L9" s="97"/>
      <c r="M9" s="97"/>
      <c r="N9" s="97"/>
      <c r="O9" s="97"/>
      <c r="P9" s="97"/>
      <c r="Q9" s="97"/>
      <c r="R9" s="97" t="s">
        <v>373</v>
      </c>
      <c r="S9" s="130">
        <v>76491</v>
      </c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</row>
    <row r="10" spans="1:41" ht="14.25" customHeight="1">
      <c r="A10" s="62">
        <v>4</v>
      </c>
      <c r="B10" s="62" t="s">
        <v>374</v>
      </c>
      <c r="C10" s="63">
        <v>37097</v>
      </c>
      <c r="D10" s="63">
        <v>80666</v>
      </c>
      <c r="E10" s="63">
        <f t="shared" si="0"/>
        <v>-43569</v>
      </c>
      <c r="F10" s="97"/>
      <c r="G10" s="97"/>
      <c r="H10" s="97" t="s">
        <v>373</v>
      </c>
      <c r="I10" s="130">
        <v>76491</v>
      </c>
      <c r="J10" s="97"/>
      <c r="K10" s="97"/>
      <c r="L10" s="97"/>
      <c r="M10" s="97"/>
      <c r="N10" s="97"/>
      <c r="O10" s="97"/>
      <c r="P10" s="97"/>
      <c r="Q10" s="97"/>
      <c r="R10" s="97" t="s">
        <v>361</v>
      </c>
      <c r="S10" s="130">
        <v>73931</v>
      </c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</row>
    <row r="11" spans="1:41" ht="14.25" customHeight="1">
      <c r="A11" s="62">
        <v>2</v>
      </c>
      <c r="B11" s="62" t="s">
        <v>375</v>
      </c>
      <c r="C11" s="63">
        <v>95624</v>
      </c>
      <c r="D11" s="63">
        <v>81633</v>
      </c>
      <c r="E11" s="63">
        <f t="shared" si="0"/>
        <v>13991</v>
      </c>
      <c r="F11" s="97"/>
      <c r="G11" s="97"/>
      <c r="H11" s="97" t="s">
        <v>361</v>
      </c>
      <c r="I11" s="130">
        <v>73931</v>
      </c>
      <c r="J11" s="97"/>
      <c r="K11" s="97"/>
      <c r="L11" s="97"/>
      <c r="M11" s="97"/>
      <c r="N11" s="97"/>
      <c r="O11" s="97"/>
      <c r="P11" s="97"/>
      <c r="Q11" s="97"/>
      <c r="R11" s="97" t="s">
        <v>376</v>
      </c>
      <c r="S11" s="130">
        <v>67859</v>
      </c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</row>
    <row r="12" spans="1:41" ht="14.25" customHeight="1">
      <c r="A12" s="62">
        <v>3</v>
      </c>
      <c r="B12" s="62" t="s">
        <v>377</v>
      </c>
      <c r="C12" s="63">
        <v>11987</v>
      </c>
      <c r="D12" s="63">
        <v>60815</v>
      </c>
      <c r="E12" s="63">
        <f t="shared" si="0"/>
        <v>-48828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 t="s">
        <v>378</v>
      </c>
      <c r="S12" s="130">
        <v>57559</v>
      </c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</row>
    <row r="13" spans="1:41" ht="14.25" customHeight="1">
      <c r="A13" s="62">
        <v>1</v>
      </c>
      <c r="B13" s="62" t="s">
        <v>379</v>
      </c>
      <c r="C13" s="63">
        <v>13448</v>
      </c>
      <c r="D13" s="63">
        <v>91744</v>
      </c>
      <c r="E13" s="63">
        <f t="shared" si="0"/>
        <v>-78296</v>
      </c>
      <c r="F13" s="97"/>
      <c r="G13" s="97"/>
      <c r="H13" s="61" t="s">
        <v>380</v>
      </c>
      <c r="I13" s="97"/>
      <c r="J13" s="97"/>
      <c r="K13" s="97"/>
      <c r="L13" s="97"/>
      <c r="M13" s="97"/>
      <c r="N13" s="86" t="s">
        <v>353</v>
      </c>
      <c r="O13" s="97" t="s">
        <v>368</v>
      </c>
      <c r="P13" s="97"/>
      <c r="Q13" s="97"/>
      <c r="R13" s="97" t="s">
        <v>381</v>
      </c>
      <c r="S13" s="130">
        <v>39660</v>
      </c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</row>
    <row r="14" spans="1:41" ht="14.25" customHeight="1">
      <c r="A14" s="62">
        <v>4</v>
      </c>
      <c r="B14" s="62" t="s">
        <v>381</v>
      </c>
      <c r="C14" s="63">
        <v>49404</v>
      </c>
      <c r="D14" s="63">
        <v>9744</v>
      </c>
      <c r="E14" s="63">
        <f t="shared" si="0"/>
        <v>39660</v>
      </c>
      <c r="F14" s="97"/>
      <c r="G14" s="97"/>
      <c r="H14" s="132" t="s">
        <v>353</v>
      </c>
      <c r="I14" s="132" t="s">
        <v>370</v>
      </c>
      <c r="J14" s="97"/>
      <c r="K14" s="97"/>
      <c r="L14" s="97"/>
      <c r="M14" s="97"/>
      <c r="N14" s="97">
        <v>4</v>
      </c>
      <c r="O14" s="130">
        <v>119479</v>
      </c>
      <c r="P14" s="97"/>
      <c r="Q14" s="97"/>
      <c r="R14" s="97" t="s">
        <v>382</v>
      </c>
      <c r="S14" s="130">
        <v>32311</v>
      </c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</row>
    <row r="15" spans="1:41" ht="14.25" customHeight="1">
      <c r="A15" s="62">
        <v>3</v>
      </c>
      <c r="B15" s="62" t="s">
        <v>383</v>
      </c>
      <c r="C15" s="63">
        <v>12099</v>
      </c>
      <c r="D15" s="63">
        <v>25646</v>
      </c>
      <c r="E15" s="63">
        <f t="shared" si="0"/>
        <v>-13547</v>
      </c>
      <c r="F15" s="97"/>
      <c r="G15" s="75"/>
      <c r="H15" s="90">
        <v>4</v>
      </c>
      <c r="I15" s="133">
        <v>119479</v>
      </c>
      <c r="J15" s="75"/>
      <c r="K15" s="97"/>
      <c r="L15" s="97"/>
      <c r="M15" s="97"/>
      <c r="N15" s="97">
        <v>1</v>
      </c>
      <c r="O15" s="130">
        <v>68938</v>
      </c>
      <c r="P15" s="97"/>
      <c r="Q15" s="97"/>
      <c r="R15" s="97" t="s">
        <v>365</v>
      </c>
      <c r="S15" s="130">
        <v>16602</v>
      </c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</row>
    <row r="16" spans="1:41" ht="14.25" customHeight="1">
      <c r="A16" s="62">
        <v>1</v>
      </c>
      <c r="B16" s="62" t="s">
        <v>373</v>
      </c>
      <c r="C16" s="63">
        <v>96794</v>
      </c>
      <c r="D16" s="63">
        <v>20303</v>
      </c>
      <c r="E16" s="63">
        <f t="shared" si="0"/>
        <v>76491</v>
      </c>
      <c r="F16" s="97"/>
      <c r="G16" s="75"/>
      <c r="H16" s="90">
        <v>1</v>
      </c>
      <c r="I16" s="133">
        <v>68938</v>
      </c>
      <c r="J16" s="75"/>
      <c r="K16" s="97"/>
      <c r="L16" s="97"/>
      <c r="M16" s="97"/>
      <c r="N16" s="97">
        <v>5</v>
      </c>
      <c r="O16" s="130">
        <v>12569</v>
      </c>
      <c r="P16" s="97"/>
      <c r="Q16" s="97"/>
      <c r="R16" s="97" t="s">
        <v>375</v>
      </c>
      <c r="S16" s="130">
        <v>13991</v>
      </c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</row>
    <row r="17" spans="1:37" ht="14.25" customHeight="1">
      <c r="A17" s="62">
        <v>1</v>
      </c>
      <c r="B17" s="62" t="s">
        <v>378</v>
      </c>
      <c r="C17" s="63">
        <v>82598</v>
      </c>
      <c r="D17" s="63">
        <v>25039</v>
      </c>
      <c r="E17" s="63">
        <f t="shared" si="0"/>
        <v>57559</v>
      </c>
      <c r="F17" s="97"/>
      <c r="G17" s="75"/>
      <c r="H17" s="90">
        <v>5</v>
      </c>
      <c r="I17" s="133">
        <v>12569</v>
      </c>
      <c r="J17" s="75"/>
      <c r="K17" s="97"/>
      <c r="L17" s="97"/>
      <c r="M17" s="97"/>
      <c r="N17" s="97">
        <v>2</v>
      </c>
      <c r="O17" s="130">
        <v>-36931</v>
      </c>
      <c r="P17" s="97"/>
      <c r="Q17" s="97"/>
      <c r="R17" s="97" t="s">
        <v>359</v>
      </c>
      <c r="S17" s="130">
        <v>12569</v>
      </c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</row>
    <row r="18" spans="1:37" ht="14.25" customHeight="1">
      <c r="A18" s="62">
        <v>2</v>
      </c>
      <c r="B18" s="62" t="s">
        <v>384</v>
      </c>
      <c r="C18" s="63">
        <v>53250</v>
      </c>
      <c r="D18" s="63">
        <v>90334</v>
      </c>
      <c r="E18" s="63">
        <f t="shared" si="0"/>
        <v>-37084</v>
      </c>
      <c r="F18" s="97"/>
      <c r="G18" s="97"/>
      <c r="H18" s="75"/>
      <c r="I18" s="75"/>
      <c r="J18" s="97"/>
      <c r="K18" s="97"/>
      <c r="L18" s="97"/>
      <c r="M18" s="97"/>
      <c r="N18" s="97">
        <v>3</v>
      </c>
      <c r="O18" s="130">
        <v>-62375</v>
      </c>
      <c r="P18" s="97"/>
      <c r="Q18" s="97"/>
      <c r="R18" s="97" t="s">
        <v>385</v>
      </c>
      <c r="S18" s="130">
        <v>11196</v>
      </c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</row>
    <row r="19" spans="1:37" ht="14.25" customHeight="1">
      <c r="A19" s="62">
        <v>4</v>
      </c>
      <c r="B19" s="62" t="s">
        <v>376</v>
      </c>
      <c r="C19" s="63">
        <v>72591</v>
      </c>
      <c r="D19" s="63">
        <v>4732</v>
      </c>
      <c r="E19" s="63">
        <f t="shared" si="0"/>
        <v>67859</v>
      </c>
      <c r="F19" s="97"/>
      <c r="G19" s="97"/>
      <c r="H19" s="61" t="s">
        <v>386</v>
      </c>
      <c r="I19" s="97"/>
      <c r="J19" s="97"/>
      <c r="K19" s="97"/>
      <c r="L19" s="97"/>
      <c r="M19" s="97"/>
      <c r="N19" s="97" t="s">
        <v>333</v>
      </c>
      <c r="O19" s="130">
        <v>101680</v>
      </c>
      <c r="P19" s="97"/>
      <c r="Q19" s="97"/>
      <c r="R19" s="97" t="s">
        <v>366</v>
      </c>
      <c r="S19" s="130">
        <v>9478</v>
      </c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</row>
    <row r="20" spans="1:37" ht="14.25" customHeight="1">
      <c r="A20" s="62">
        <v>1</v>
      </c>
      <c r="B20" s="62" t="s">
        <v>385</v>
      </c>
      <c r="C20" s="63">
        <v>25955</v>
      </c>
      <c r="D20" s="63">
        <v>14759</v>
      </c>
      <c r="E20" s="63">
        <f t="shared" si="0"/>
        <v>11196</v>
      </c>
      <c r="F20" s="97"/>
      <c r="G20" s="97"/>
      <c r="H20" s="132" t="s">
        <v>353</v>
      </c>
      <c r="I20" s="132" t="s">
        <v>387</v>
      </c>
      <c r="J20" s="97"/>
      <c r="K20" s="97"/>
      <c r="L20" s="97"/>
      <c r="M20" s="97"/>
      <c r="N20" s="97"/>
      <c r="O20" s="97"/>
      <c r="P20" s="97"/>
      <c r="Q20" s="97"/>
      <c r="R20" s="97" t="s">
        <v>388</v>
      </c>
      <c r="S20" s="130">
        <v>-867</v>
      </c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</row>
    <row r="21" spans="1:37" ht="14.25" customHeight="1">
      <c r="A21" s="62">
        <v>4</v>
      </c>
      <c r="B21" s="62" t="s">
        <v>389</v>
      </c>
      <c r="C21" s="63">
        <v>9800</v>
      </c>
      <c r="D21" s="63">
        <v>27335</v>
      </c>
      <c r="E21" s="63">
        <f t="shared" si="0"/>
        <v>-17535</v>
      </c>
      <c r="F21" s="97"/>
      <c r="G21" s="75"/>
      <c r="H21" s="90">
        <v>1</v>
      </c>
      <c r="I21" s="131">
        <v>8</v>
      </c>
      <c r="J21" s="75"/>
      <c r="K21" s="97"/>
      <c r="L21" s="97"/>
      <c r="M21" s="97"/>
      <c r="N21" s="86" t="s">
        <v>353</v>
      </c>
      <c r="O21" s="97" t="s">
        <v>390</v>
      </c>
      <c r="P21" s="97"/>
      <c r="Q21" s="97"/>
      <c r="R21" s="97" t="s">
        <v>383</v>
      </c>
      <c r="S21" s="130">
        <v>-13547</v>
      </c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</row>
    <row r="22" spans="1:37" ht="14.25" customHeight="1">
      <c r="A22" s="62">
        <v>2</v>
      </c>
      <c r="B22" s="62" t="s">
        <v>382</v>
      </c>
      <c r="C22" s="63">
        <v>46976</v>
      </c>
      <c r="D22" s="63">
        <v>14665</v>
      </c>
      <c r="E22" s="63">
        <f t="shared" si="0"/>
        <v>32311</v>
      </c>
      <c r="F22" s="97"/>
      <c r="G22" s="75"/>
      <c r="H22" s="90">
        <v>4</v>
      </c>
      <c r="I22" s="131">
        <v>6</v>
      </c>
      <c r="J22" s="75"/>
      <c r="K22" s="97"/>
      <c r="L22" s="97"/>
      <c r="M22" s="97"/>
      <c r="N22" s="97">
        <v>1</v>
      </c>
      <c r="O22" s="87">
        <v>8</v>
      </c>
      <c r="P22" s="97"/>
      <c r="Q22" s="97"/>
      <c r="R22" s="97" t="s">
        <v>389</v>
      </c>
      <c r="S22" s="130">
        <v>-17535</v>
      </c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</row>
    <row r="23" spans="1:37" ht="14.25" customHeight="1">
      <c r="A23" s="62">
        <v>1</v>
      </c>
      <c r="B23" s="62" t="s">
        <v>371</v>
      </c>
      <c r="C23" s="63">
        <v>96175</v>
      </c>
      <c r="D23" s="63">
        <v>10999</v>
      </c>
      <c r="E23" s="63">
        <f t="shared" si="0"/>
        <v>85176</v>
      </c>
      <c r="F23" s="97"/>
      <c r="G23" s="75"/>
      <c r="H23" s="90">
        <v>2</v>
      </c>
      <c r="I23" s="131">
        <v>5</v>
      </c>
      <c r="J23" s="75"/>
      <c r="K23" s="97"/>
      <c r="L23" s="97"/>
      <c r="M23" s="97"/>
      <c r="N23" s="97">
        <v>4</v>
      </c>
      <c r="O23" s="87">
        <v>6</v>
      </c>
      <c r="P23" s="97"/>
      <c r="Q23" s="97"/>
      <c r="R23" s="97" t="s">
        <v>372</v>
      </c>
      <c r="S23" s="130">
        <v>-32778</v>
      </c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</row>
    <row r="24" spans="1:37" ht="14.25" customHeight="1">
      <c r="A24" s="62">
        <v>4</v>
      </c>
      <c r="B24" s="62" t="s">
        <v>388</v>
      </c>
      <c r="C24" s="63">
        <v>50284</v>
      </c>
      <c r="D24" s="63">
        <v>51151</v>
      </c>
      <c r="E24" s="63">
        <f t="shared" si="0"/>
        <v>-867</v>
      </c>
      <c r="F24" s="97"/>
      <c r="G24" s="97"/>
      <c r="H24" s="75"/>
      <c r="I24" s="75"/>
      <c r="J24" s="97"/>
      <c r="K24" s="97"/>
      <c r="L24" s="97"/>
      <c r="M24" s="97"/>
      <c r="N24" s="97">
        <v>2</v>
      </c>
      <c r="O24" s="87">
        <v>5</v>
      </c>
      <c r="P24" s="97"/>
      <c r="Q24" s="97"/>
      <c r="R24" s="97" t="s">
        <v>384</v>
      </c>
      <c r="S24" s="130">
        <v>-37084</v>
      </c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</row>
    <row r="25" spans="1:37" ht="14.2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>
        <v>3</v>
      </c>
      <c r="O25" s="87">
        <v>2</v>
      </c>
      <c r="P25" s="97"/>
      <c r="Q25" s="97"/>
      <c r="R25" s="97" t="s">
        <v>374</v>
      </c>
      <c r="S25" s="130">
        <v>-43569</v>
      </c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</row>
    <row r="26" spans="1:37" ht="14.2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>
        <v>5</v>
      </c>
      <c r="O26" s="87">
        <v>1</v>
      </c>
      <c r="P26" s="97"/>
      <c r="Q26" s="97"/>
      <c r="R26" s="97" t="s">
        <v>377</v>
      </c>
      <c r="S26" s="130">
        <v>-48828</v>
      </c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</row>
    <row r="27" spans="1:37" ht="14.25" customHeight="1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 t="s">
        <v>333</v>
      </c>
      <c r="O27" s="87">
        <v>22</v>
      </c>
      <c r="P27" s="97"/>
      <c r="Q27" s="97"/>
      <c r="R27" s="97" t="s">
        <v>369</v>
      </c>
      <c r="S27" s="130">
        <v>-55627</v>
      </c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</row>
    <row r="28" spans="1:37" ht="14.2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 t="s">
        <v>363</v>
      </c>
      <c r="S28" s="130">
        <v>-67012</v>
      </c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spans="1:37" ht="14.2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 t="s">
        <v>379</v>
      </c>
      <c r="S29" s="130">
        <v>-78296</v>
      </c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</row>
    <row r="30" spans="1:37" ht="14.2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 t="s">
        <v>333</v>
      </c>
      <c r="S30" s="130">
        <v>101680</v>
      </c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</row>
    <row r="31" spans="1:37" ht="14.2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</row>
    <row r="32" spans="1:37" ht="14.2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</row>
    <row r="33" spans="14:16" ht="14.25" customHeight="1">
      <c r="N33" s="97"/>
      <c r="O33" s="97"/>
      <c r="P33" s="97"/>
    </row>
    <row r="34" spans="14:16" ht="14.25" customHeight="1">
      <c r="N34" s="97"/>
      <c r="O34" s="97"/>
      <c r="P34" s="97"/>
    </row>
    <row r="35" spans="14:16" ht="14.25" customHeight="1">
      <c r="N35" s="97"/>
      <c r="O35" s="97"/>
      <c r="P35" s="97"/>
    </row>
    <row r="36" spans="14:16" ht="14.25" customHeight="1">
      <c r="N36" s="97"/>
      <c r="O36" s="97"/>
      <c r="P36" s="97"/>
    </row>
    <row r="37" spans="14:16" ht="14.25" customHeight="1">
      <c r="N37" s="97"/>
      <c r="O37" s="97"/>
      <c r="P37" s="97"/>
    </row>
    <row r="38" spans="14:16" ht="14.25" customHeight="1">
      <c r="N38" s="97"/>
      <c r="O38" s="97"/>
      <c r="P38" s="97"/>
    </row>
    <row r="39" spans="14:16" ht="14.25" customHeight="1">
      <c r="N39" s="97"/>
      <c r="O39" s="97"/>
      <c r="P39" s="97"/>
    </row>
    <row r="40" spans="14:16" ht="14.25" customHeight="1">
      <c r="N40" s="97"/>
      <c r="O40" s="97"/>
      <c r="P40" s="97"/>
    </row>
    <row r="41" spans="14:16" ht="14.25" customHeight="1">
      <c r="N41" s="97"/>
      <c r="O41" s="97"/>
      <c r="P41" s="97"/>
    </row>
    <row r="42" spans="14:16" ht="14.25" customHeight="1">
      <c r="N42" s="97"/>
      <c r="O42" s="97"/>
      <c r="P42" s="97"/>
    </row>
    <row r="43" spans="14:16" ht="14.25" customHeight="1">
      <c r="N43" s="97"/>
      <c r="O43" s="97"/>
      <c r="P43" s="97"/>
    </row>
    <row r="44" spans="14:16" ht="14.25" customHeight="1">
      <c r="N44" s="97"/>
      <c r="O44" s="97"/>
      <c r="P44" s="97"/>
    </row>
    <row r="45" spans="14:16" ht="14.25" customHeight="1">
      <c r="N45" s="97"/>
      <c r="O45" s="97"/>
      <c r="P45" s="97"/>
    </row>
    <row r="46" spans="14:16" ht="14.25" customHeight="1">
      <c r="N46" s="97"/>
      <c r="O46" s="97"/>
      <c r="P46" s="97"/>
    </row>
    <row r="47" spans="14:16" ht="14.25" customHeight="1">
      <c r="N47" s="97"/>
      <c r="O47" s="97"/>
      <c r="P47" s="97"/>
    </row>
    <row r="48" spans="14:16" ht="14.25" customHeight="1">
      <c r="N48" s="97"/>
      <c r="O48" s="97"/>
      <c r="P48" s="97"/>
    </row>
    <row r="49" spans="14:15" ht="14.25" customHeight="1">
      <c r="N49" s="97"/>
      <c r="O49" s="97"/>
    </row>
    <row r="50" spans="14:15" ht="14.25" customHeight="1">
      <c r="N50" s="97"/>
      <c r="O50" s="97"/>
    </row>
    <row r="51" spans="14:15" ht="14.25" customHeight="1">
      <c r="N51" s="97"/>
      <c r="O51" s="97"/>
    </row>
    <row r="52" spans="14:15" ht="14.25" customHeight="1">
      <c r="N52" s="97"/>
      <c r="O52" s="97"/>
    </row>
    <row r="53" spans="14:15" ht="14.25" customHeight="1">
      <c r="N53" s="97"/>
      <c r="O53" s="97"/>
    </row>
    <row r="54" spans="14:15" ht="14.25" customHeight="1">
      <c r="N54" s="97"/>
      <c r="O54" s="97"/>
    </row>
    <row r="55" spans="14:15" ht="14.25" customHeight="1">
      <c r="N55" s="97"/>
      <c r="O55" s="97"/>
    </row>
    <row r="56" spans="14:15" ht="14.25" customHeight="1">
      <c r="N56" s="97"/>
      <c r="O56" s="97"/>
    </row>
    <row r="57" spans="14:15" ht="14.25" customHeight="1">
      <c r="N57" s="97"/>
      <c r="O57" s="97"/>
    </row>
    <row r="58" spans="14:15" ht="14.25" customHeight="1">
      <c r="N58" s="97"/>
      <c r="O58" s="97"/>
    </row>
    <row r="59" spans="14:15" ht="14.25" customHeight="1">
      <c r="N59" s="97"/>
      <c r="O59" s="97"/>
    </row>
    <row r="60" spans="14:15" ht="14.25" customHeight="1">
      <c r="N60" s="97"/>
      <c r="O60" s="97"/>
    </row>
    <row r="61" spans="14:15" ht="14.25" customHeight="1">
      <c r="N61" s="97"/>
      <c r="O61" s="97"/>
    </row>
    <row r="62" spans="14:15" ht="14.25" customHeight="1">
      <c r="N62" s="97"/>
      <c r="O62" s="97"/>
    </row>
    <row r="63" spans="14:15" ht="14.25" customHeight="1">
      <c r="N63" s="97"/>
      <c r="O63" s="97"/>
    </row>
    <row r="64" spans="14:15" ht="14.25" customHeight="1">
      <c r="N64" s="97"/>
      <c r="O64" s="97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0"/>
  <sheetViews>
    <sheetView showGridLines="0" workbookViewId="0">
      <selection activeCell="Q10" sqref="Q10"/>
    </sheetView>
  </sheetViews>
  <sheetFormatPr defaultColWidth="14.42578125" defaultRowHeight="15" customHeight="1"/>
  <cols>
    <col min="1" max="1" width="28.28515625" customWidth="1"/>
    <col min="2" max="2" width="16.7109375" customWidth="1"/>
    <col min="3" max="3" width="13.7109375" customWidth="1"/>
    <col min="4" max="26" width="8.7109375" customWidth="1"/>
  </cols>
  <sheetData>
    <row r="1" spans="1:4" ht="14.25" customHeight="1">
      <c r="A1" s="119" t="s">
        <v>391</v>
      </c>
      <c r="B1" s="120"/>
      <c r="C1" s="120"/>
      <c r="D1" s="121"/>
    </row>
    <row r="2" spans="1:4" ht="14.25" customHeight="1">
      <c r="A2" s="122"/>
      <c r="B2" s="123"/>
      <c r="C2" s="123"/>
      <c r="D2" s="124"/>
    </row>
    <row r="3" spans="1:4" ht="14.25" customHeight="1">
      <c r="A3" s="125"/>
      <c r="B3" s="126"/>
      <c r="C3" s="126"/>
      <c r="D3" s="127"/>
    </row>
    <row r="4" spans="1:4" ht="14.25" customHeight="1">
      <c r="A4" s="97"/>
      <c r="B4" s="97"/>
      <c r="C4" s="97"/>
      <c r="D4" s="97"/>
    </row>
    <row r="5" spans="1:4" ht="14.25" customHeight="1">
      <c r="A5" s="97"/>
      <c r="B5" s="97"/>
      <c r="C5" s="97"/>
      <c r="D5" s="97"/>
    </row>
    <row r="6" spans="1:4" ht="14.25" customHeight="1">
      <c r="A6" s="97"/>
      <c r="B6" s="97"/>
      <c r="C6" s="97"/>
      <c r="D6" s="97"/>
    </row>
    <row r="7" spans="1:4" ht="14.25" customHeight="1">
      <c r="A7" s="66" t="s">
        <v>392</v>
      </c>
      <c r="B7" s="67" t="s">
        <v>393</v>
      </c>
      <c r="C7" s="67" t="s">
        <v>394</v>
      </c>
      <c r="D7" s="97"/>
    </row>
    <row r="8" spans="1:4" ht="14.25" customHeight="1">
      <c r="A8" s="68" t="s">
        <v>395</v>
      </c>
      <c r="B8" s="69">
        <v>500</v>
      </c>
      <c r="C8" s="70">
        <v>0.98</v>
      </c>
      <c r="D8" s="97"/>
    </row>
    <row r="9" spans="1:4" ht="14.25" customHeight="1">
      <c r="A9" s="68" t="s">
        <v>396</v>
      </c>
      <c r="B9" s="69">
        <v>550</v>
      </c>
      <c r="C9" s="70">
        <v>0.85</v>
      </c>
      <c r="D9" s="97"/>
    </row>
    <row r="10" spans="1:4" ht="14.25" customHeight="1">
      <c r="A10" s="68" t="s">
        <v>397</v>
      </c>
      <c r="B10" s="69">
        <v>650</v>
      </c>
      <c r="C10" s="70">
        <v>0.92</v>
      </c>
      <c r="D10" s="97"/>
    </row>
    <row r="11" spans="1:4" ht="14.25" customHeight="1">
      <c r="A11" s="97"/>
      <c r="B11" s="97"/>
      <c r="C11" s="97"/>
      <c r="D11" s="97"/>
    </row>
    <row r="12" spans="1:4" ht="14.25" customHeight="1">
      <c r="A12" s="97"/>
      <c r="B12" s="97"/>
      <c r="C12" s="97"/>
      <c r="D12" s="97"/>
    </row>
    <row r="13" spans="1:4" ht="14.25" customHeight="1">
      <c r="A13" s="97"/>
      <c r="B13" s="97"/>
      <c r="C13" s="97"/>
      <c r="D13" s="97"/>
    </row>
    <row r="14" spans="1:4" ht="14.25" customHeight="1">
      <c r="A14" s="97"/>
      <c r="B14" s="97"/>
      <c r="C14" s="97"/>
      <c r="D14" s="97"/>
    </row>
    <row r="15" spans="1:4" ht="14.25" customHeight="1">
      <c r="A15" s="97"/>
      <c r="B15" s="97"/>
      <c r="C15" s="97"/>
      <c r="D15" s="97"/>
    </row>
    <row r="16" spans="1:4" ht="14.25" customHeight="1">
      <c r="A16" s="97"/>
      <c r="B16" s="97"/>
      <c r="C16" s="97"/>
      <c r="D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3"/>
  </mergeCells>
  <pageMargins left="0.7" right="0.7" top="0.75" bottom="0.75" header="0" footer="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showGridLines="0" workbookViewId="0">
      <selection activeCell="A3" sqref="A3"/>
    </sheetView>
  </sheetViews>
  <sheetFormatPr defaultColWidth="14.42578125" defaultRowHeight="15" customHeight="1"/>
  <cols>
    <col min="1" max="26" width="8.7109375" customWidth="1"/>
  </cols>
  <sheetData>
    <row r="1" spans="1:8" ht="14.25" customHeight="1">
      <c r="A1" s="99" t="s">
        <v>398</v>
      </c>
      <c r="B1" s="100"/>
      <c r="C1" s="100"/>
      <c r="D1" s="100"/>
      <c r="E1" s="100"/>
      <c r="F1" s="100"/>
      <c r="G1" s="100"/>
      <c r="H1" s="100"/>
    </row>
    <row r="2" spans="1:8" ht="14.25" customHeight="1">
      <c r="A2" s="101" t="s">
        <v>399</v>
      </c>
      <c r="B2" s="100"/>
      <c r="C2" s="100"/>
      <c r="D2" s="97"/>
      <c r="E2" s="97"/>
      <c r="F2" s="97"/>
      <c r="G2" s="97"/>
      <c r="H2" s="97"/>
    </row>
    <row r="3" spans="1:8" ht="14.25" customHeight="1">
      <c r="A3" s="97"/>
      <c r="B3" s="97"/>
      <c r="C3" s="97"/>
      <c r="D3" s="97"/>
      <c r="E3" s="97"/>
      <c r="F3" s="97"/>
      <c r="G3" s="97"/>
      <c r="H3" s="97"/>
    </row>
    <row r="4" spans="1:8" ht="14.25" customHeight="1">
      <c r="A4" s="97" t="s">
        <v>400</v>
      </c>
      <c r="B4" s="97"/>
      <c r="C4" s="97"/>
      <c r="D4" s="97"/>
      <c r="E4" s="97"/>
      <c r="F4" s="97"/>
      <c r="G4" s="97"/>
      <c r="H4" s="97"/>
    </row>
    <row r="5" spans="1:8" ht="14.25" customHeight="1">
      <c r="A5" s="97" t="s">
        <v>401</v>
      </c>
      <c r="B5" s="97"/>
      <c r="C5" s="97"/>
      <c r="D5" s="97"/>
      <c r="E5" s="97"/>
      <c r="F5" s="97"/>
      <c r="G5" s="97"/>
      <c r="H5" s="97"/>
    </row>
    <row r="6" spans="1:8" ht="14.25" customHeight="1">
      <c r="A6" s="97" t="s">
        <v>402</v>
      </c>
      <c r="B6" s="97"/>
      <c r="C6" s="97"/>
      <c r="D6" s="97"/>
      <c r="E6" s="97"/>
      <c r="F6" s="97"/>
      <c r="G6" s="97"/>
      <c r="H6" s="97"/>
    </row>
    <row r="7" spans="1:8" ht="14.25" customHeight="1">
      <c r="A7" s="97" t="s">
        <v>403</v>
      </c>
      <c r="B7" s="97"/>
      <c r="C7" s="97"/>
      <c r="D7" s="97"/>
      <c r="E7" s="97"/>
      <c r="F7" s="97"/>
      <c r="G7" s="97"/>
      <c r="H7" s="97"/>
    </row>
    <row r="8" spans="1:8" ht="14.25" customHeight="1">
      <c r="A8" s="97" t="s">
        <v>404</v>
      </c>
      <c r="B8" s="97"/>
      <c r="C8" s="97"/>
      <c r="D8" s="97"/>
      <c r="E8" s="97"/>
      <c r="F8" s="97"/>
      <c r="G8" s="97"/>
      <c r="H8" s="97"/>
    </row>
    <row r="9" spans="1:8" ht="14.25" customHeight="1">
      <c r="A9" s="97" t="s">
        <v>405</v>
      </c>
      <c r="B9" s="97"/>
      <c r="C9" s="97"/>
      <c r="D9" s="97"/>
      <c r="E9" s="97"/>
      <c r="F9" s="97"/>
      <c r="G9" s="97"/>
      <c r="H9" s="97"/>
    </row>
    <row r="10" spans="1:8" ht="14.25" customHeight="1">
      <c r="A10" s="97" t="s">
        <v>406</v>
      </c>
      <c r="B10" s="97"/>
      <c r="C10" s="97"/>
      <c r="D10" s="97"/>
      <c r="E10" s="97"/>
      <c r="F10" s="97"/>
      <c r="G10" s="97"/>
      <c r="H10" s="97"/>
    </row>
    <row r="11" spans="1:8" ht="14.25" customHeight="1">
      <c r="A11" s="97" t="s">
        <v>407</v>
      </c>
      <c r="B11" s="97"/>
      <c r="C11" s="97"/>
      <c r="D11" s="97"/>
      <c r="E11" s="97"/>
      <c r="F11" s="97"/>
      <c r="G11" s="97"/>
      <c r="H11" s="97"/>
    </row>
    <row r="12" spans="1:8" ht="14.25" customHeight="1">
      <c r="A12" s="97" t="s">
        <v>408</v>
      </c>
      <c r="B12" s="97"/>
      <c r="C12" s="97"/>
      <c r="D12" s="97"/>
      <c r="E12" s="97"/>
      <c r="F12" s="97"/>
      <c r="G12" s="97"/>
      <c r="H12" s="97"/>
    </row>
    <row r="13" spans="1:8" ht="14.25" customHeight="1">
      <c r="A13" s="97" t="s">
        <v>409</v>
      </c>
      <c r="B13" s="97"/>
      <c r="C13" s="97"/>
      <c r="D13" s="97"/>
      <c r="E13" s="97"/>
      <c r="F13" s="97"/>
      <c r="G13" s="97"/>
      <c r="H13" s="97"/>
    </row>
    <row r="14" spans="1:8" ht="14.25" customHeight="1">
      <c r="A14" s="97" t="s">
        <v>410</v>
      </c>
      <c r="B14" s="97"/>
      <c r="C14" s="97"/>
      <c r="D14" s="97"/>
      <c r="E14" s="97"/>
      <c r="F14" s="97"/>
      <c r="G14" s="97"/>
      <c r="H14" s="97"/>
    </row>
    <row r="15" spans="1:8" ht="14.25" customHeight="1">
      <c r="A15" s="97"/>
      <c r="B15" s="97"/>
      <c r="C15" s="97"/>
      <c r="D15" s="97"/>
      <c r="E15" s="97"/>
      <c r="F15" s="97"/>
      <c r="G15" s="97"/>
      <c r="H15" s="97"/>
    </row>
    <row r="16" spans="1:8" ht="14.25" customHeight="1">
      <c r="A16" s="97"/>
      <c r="B16" s="97"/>
      <c r="C16" s="97"/>
      <c r="D16" s="97"/>
      <c r="E16" s="97"/>
      <c r="F16" s="97"/>
      <c r="G16" s="97"/>
      <c r="H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C2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00"/>
  <sheetViews>
    <sheetView showGridLines="0" tabSelected="1" workbookViewId="0">
      <selection sqref="A1:D4"/>
    </sheetView>
  </sheetViews>
  <sheetFormatPr defaultColWidth="14.42578125" defaultRowHeight="15" customHeight="1"/>
  <cols>
    <col min="1" max="26" width="8.7109375" customWidth="1"/>
  </cols>
  <sheetData>
    <row r="1" spans="1:4" ht="14.25" customHeight="1">
      <c r="A1" s="128" t="s">
        <v>411</v>
      </c>
      <c r="B1" s="120"/>
      <c r="C1" s="120"/>
      <c r="D1" s="121"/>
    </row>
    <row r="2" spans="1:4" ht="14.25" customHeight="1">
      <c r="A2" s="122"/>
      <c r="B2" s="123"/>
      <c r="C2" s="123"/>
      <c r="D2" s="124"/>
    </row>
    <row r="3" spans="1:4" ht="14.25" customHeight="1">
      <c r="A3" s="122"/>
      <c r="B3" s="123"/>
      <c r="C3" s="123"/>
      <c r="D3" s="124"/>
    </row>
    <row r="4" spans="1:4" ht="14.25" customHeight="1">
      <c r="A4" s="125"/>
      <c r="B4" s="126"/>
      <c r="C4" s="126"/>
      <c r="D4" s="127"/>
    </row>
    <row r="5" spans="1:4" ht="14.25" customHeight="1">
      <c r="A5" s="97"/>
      <c r="B5" s="97"/>
      <c r="C5" s="97"/>
      <c r="D5" s="97"/>
    </row>
    <row r="6" spans="1:4" ht="14.25" customHeight="1">
      <c r="A6" s="97" t="s">
        <v>412</v>
      </c>
      <c r="B6" s="97"/>
      <c r="C6" s="97"/>
      <c r="D6" s="97"/>
    </row>
    <row r="7" spans="1:4" ht="14.25" customHeight="1">
      <c r="A7" s="97">
        <v>1</v>
      </c>
      <c r="B7" s="97" t="s">
        <v>413</v>
      </c>
      <c r="C7" s="97"/>
      <c r="D7" s="97"/>
    </row>
    <row r="8" spans="1:4" ht="14.25" customHeight="1">
      <c r="A8" s="97">
        <v>2</v>
      </c>
      <c r="B8" s="97" t="s">
        <v>414</v>
      </c>
      <c r="C8" s="97"/>
      <c r="D8" s="97"/>
    </row>
    <row r="9" spans="1:4" ht="14.25" customHeight="1">
      <c r="A9" s="97">
        <v>3</v>
      </c>
      <c r="B9" s="97" t="s">
        <v>415</v>
      </c>
      <c r="C9" s="97"/>
      <c r="D9" s="97"/>
    </row>
    <row r="10" spans="1:4" ht="14.25" customHeight="1">
      <c r="A10" s="97">
        <v>4</v>
      </c>
      <c r="B10" s="97" t="s">
        <v>416</v>
      </c>
      <c r="C10" s="97"/>
      <c r="D10" s="97"/>
    </row>
    <row r="11" spans="1:4" ht="14.25" customHeight="1">
      <c r="A11" s="97">
        <v>5</v>
      </c>
      <c r="B11" s="97" t="s">
        <v>417</v>
      </c>
      <c r="C11" s="97"/>
      <c r="D11" s="97"/>
    </row>
    <row r="12" spans="1:4" ht="14.25" customHeight="1">
      <c r="A12" s="97">
        <v>6</v>
      </c>
      <c r="B12" s="97" t="s">
        <v>418</v>
      </c>
      <c r="C12" s="97"/>
      <c r="D12" s="97"/>
    </row>
    <row r="13" spans="1:4" ht="14.25" customHeight="1">
      <c r="A13" s="97"/>
      <c r="B13" s="97"/>
      <c r="C13" s="97"/>
      <c r="D13" s="97"/>
    </row>
    <row r="14" spans="1:4" ht="14.25" customHeight="1">
      <c r="A14" s="97"/>
      <c r="B14" s="97"/>
      <c r="C14" s="97"/>
      <c r="D14" s="97"/>
    </row>
    <row r="15" spans="1:4" ht="14.25" customHeight="1">
      <c r="A15" s="97"/>
      <c r="B15" s="97"/>
      <c r="C15" s="97"/>
      <c r="D15" s="97"/>
    </row>
    <row r="16" spans="1:4" ht="14.25" customHeight="1">
      <c r="A16" s="97"/>
      <c r="B16" s="97"/>
      <c r="C16" s="97"/>
      <c r="D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4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000"/>
  <sheetViews>
    <sheetView showGridLines="0" workbookViewId="0">
      <selection activeCell="D5" sqref="D5"/>
    </sheetView>
  </sheetViews>
  <sheetFormatPr defaultColWidth="14.42578125" defaultRowHeight="15" customHeight="1"/>
  <cols>
    <col min="1" max="3" width="8.7109375" customWidth="1"/>
    <col min="4" max="4" width="15.42578125" customWidth="1"/>
    <col min="5" max="26" width="8.7109375" customWidth="1"/>
  </cols>
  <sheetData>
    <row r="1" spans="1:13" ht="21">
      <c r="A1" s="129" t="s">
        <v>419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97"/>
      <c r="M1" s="97"/>
    </row>
    <row r="2" spans="1:13" ht="14.25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3" ht="14.25" customHeight="1">
      <c r="A3" s="97"/>
      <c r="B3" s="7" t="s">
        <v>420</v>
      </c>
      <c r="C3" s="7" t="s">
        <v>421</v>
      </c>
      <c r="D3" s="7" t="s">
        <v>422</v>
      </c>
      <c r="E3" s="97"/>
      <c r="F3" s="97"/>
      <c r="G3" s="97"/>
      <c r="H3" s="97"/>
      <c r="I3" s="97"/>
      <c r="J3" s="97"/>
      <c r="K3" s="97"/>
      <c r="L3" s="97"/>
      <c r="M3" s="97"/>
    </row>
    <row r="4" spans="1:13" ht="14.25" customHeight="1">
      <c r="A4" s="97"/>
      <c r="B4" s="7" t="s">
        <v>423</v>
      </c>
      <c r="C4" s="9">
        <f>HLOOKUP(B4,$B$11:$M$12,2,FALSE)</f>
        <v>16039</v>
      </c>
      <c r="D4" s="9">
        <f>INDEX($B$11:$M$12,2,MATCH(B4,$B$11:$M$11,0))</f>
        <v>16039</v>
      </c>
      <c r="E4" s="97"/>
      <c r="F4" s="97"/>
      <c r="G4" s="97"/>
      <c r="H4" s="97"/>
      <c r="I4" s="97"/>
      <c r="J4" s="97"/>
      <c r="K4" s="97"/>
      <c r="L4" s="97"/>
      <c r="M4" s="97"/>
    </row>
    <row r="5" spans="1:13" ht="14.25" customHeight="1">
      <c r="A5" s="97"/>
      <c r="B5" s="7" t="s">
        <v>424</v>
      </c>
      <c r="C5" s="9">
        <f t="shared" ref="C5:C6" si="0">HLOOKUP(B5,$B$11:$M$12,2,FALSE)</f>
        <v>5155</v>
      </c>
      <c r="D5" s="9">
        <f>INDEX($B$11:$M$12,2,MATCH(B5,$B$11:$M$11,0))</f>
        <v>5155</v>
      </c>
      <c r="E5" s="9"/>
      <c r="F5" s="97"/>
      <c r="G5" s="97"/>
      <c r="H5" s="97"/>
      <c r="I5" s="97"/>
      <c r="J5" s="97"/>
      <c r="K5" s="97"/>
      <c r="L5" s="97"/>
      <c r="M5" s="97"/>
    </row>
    <row r="6" spans="1:13" ht="14.25" customHeight="1">
      <c r="A6" s="97"/>
      <c r="B6" s="7" t="s">
        <v>425</v>
      </c>
      <c r="C6" s="9">
        <f t="shared" si="0"/>
        <v>5783</v>
      </c>
      <c r="D6" s="9">
        <f>INDEX($B$11:$M$12,2,MATCH(B6,$B$11:$M$11,0))</f>
        <v>5783</v>
      </c>
      <c r="E6" s="97"/>
      <c r="F6" s="97"/>
      <c r="G6" s="97"/>
      <c r="H6" s="97"/>
      <c r="I6" s="97"/>
      <c r="J6" s="97"/>
      <c r="K6" s="97"/>
      <c r="L6" s="97"/>
      <c r="M6" s="97"/>
    </row>
    <row r="7" spans="1:13" ht="14.25" customHeight="1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</row>
    <row r="8" spans="1:13" ht="14.25" customHeight="1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</row>
    <row r="9" spans="1:13" ht="14.25" customHeight="1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</row>
    <row r="10" spans="1:13" ht="14.25" customHeight="1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</row>
    <row r="11" spans="1:13" ht="14.25" customHeight="1">
      <c r="A11" s="97"/>
      <c r="B11" s="98" t="s">
        <v>426</v>
      </c>
      <c r="C11" s="71" t="s">
        <v>423</v>
      </c>
      <c r="D11" s="71" t="s">
        <v>427</v>
      </c>
      <c r="E11" s="71" t="s">
        <v>425</v>
      </c>
      <c r="F11" s="71" t="s">
        <v>428</v>
      </c>
      <c r="G11" s="71" t="s">
        <v>429</v>
      </c>
      <c r="H11" s="71" t="s">
        <v>430</v>
      </c>
      <c r="I11" s="71" t="s">
        <v>431</v>
      </c>
      <c r="J11" s="71" t="s">
        <v>432</v>
      </c>
      <c r="K11" s="71" t="s">
        <v>424</v>
      </c>
      <c r="L11" s="71" t="s">
        <v>433</v>
      </c>
      <c r="M11" s="71" t="s">
        <v>434</v>
      </c>
    </row>
    <row r="12" spans="1:13" ht="14.25" customHeight="1">
      <c r="A12" s="97"/>
      <c r="B12" s="98" t="s">
        <v>435</v>
      </c>
      <c r="C12" s="71">
        <v>16039</v>
      </c>
      <c r="D12" s="71">
        <v>34051</v>
      </c>
      <c r="E12" s="71">
        <v>5783</v>
      </c>
      <c r="F12" s="71">
        <v>40982</v>
      </c>
      <c r="G12" s="71">
        <v>24920</v>
      </c>
      <c r="H12" s="71">
        <v>36166</v>
      </c>
      <c r="I12" s="71">
        <v>24168</v>
      </c>
      <c r="J12" s="71">
        <v>22349</v>
      </c>
      <c r="K12" s="71">
        <v>5155</v>
      </c>
      <c r="L12" s="71">
        <v>32135</v>
      </c>
      <c r="M12" s="71">
        <v>32655</v>
      </c>
    </row>
    <row r="13" spans="1:13" ht="14.25" customHeight="1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</row>
    <row r="14" spans="1:13" ht="14.25" customHeight="1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spans="1:13" ht="14.25" customHeight="1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</row>
    <row r="16" spans="1:13" ht="14.25" customHeight="1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muzafar mohiuddin</cp:lastModifiedBy>
  <cp:revision/>
  <dcterms:created xsi:type="dcterms:W3CDTF">2021-04-30T05:55:08Z</dcterms:created>
  <dcterms:modified xsi:type="dcterms:W3CDTF">2026-10-14T09:23:52Z</dcterms:modified>
  <cp:category/>
  <cp:contentStatus/>
</cp:coreProperties>
</file>